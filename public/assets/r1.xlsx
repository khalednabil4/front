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72" activeTab="3"/>
  </bookViews>
  <sheets>
    <sheet name="Final" sheetId="4" r:id="rId1"/>
    <sheet name="Statistics" sheetId="5" r:id="rId2"/>
    <sheet name="Ind VS Activities" sheetId="6" r:id="rId3"/>
    <sheet name="NRW summary" sheetId="1" r:id="rId4"/>
  </sheets>
  <definedNames>
    <definedName name="_xlnm._FilterDatabase" localSheetId="0" hidden="1">Final!$B$3:$U$58</definedName>
    <definedName name="_xlnm._FilterDatabase" localSheetId="3" hidden="1">'NRW summary'!$A$2:$W$3</definedName>
    <definedName name="_xlnm.Print_Area" localSheetId="0">Final!$B$1:$U$54</definedName>
    <definedName name="_xlnm.Print_Area" localSheetId="3">'NRW summary'!$A$1:$W$25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<sst xmlns="http://schemas.openxmlformats.org/spreadsheetml/2006/main" count="370" uniqueCount="225">
  <si>
    <t>A summary of the results of the active leakage control (ALC) in Damietta AC</t>
  </si>
  <si>
    <t>بعد طرح بورسعيد</t>
  </si>
  <si>
    <t>No of customers in the governorate</t>
  </si>
  <si>
    <t>Total population of the governorate</t>
  </si>
  <si>
    <t>m3 / month</t>
  </si>
  <si>
    <t>#</t>
  </si>
  <si>
    <t>DMZ Name</t>
  </si>
  <si>
    <t>DMZ Code</t>
  </si>
  <si>
    <t>DMA Name</t>
  </si>
  <si>
    <t>DMA Code</t>
  </si>
  <si>
    <t>Measurement type</t>
  </si>
  <si>
    <t>Before/After</t>
  </si>
  <si>
    <t>Date</t>
  </si>
  <si>
    <t>Customer #</t>
  </si>
  <si>
    <t>DMA's Customer  / total Customer  for the governorate  %</t>
  </si>
  <si>
    <t>population</t>
  </si>
  <si>
    <t xml:space="preserve">  Area's population / total governorate population %</t>
  </si>
  <si>
    <t xml:space="preserve"> Water supplied  (m3/month)</t>
  </si>
  <si>
    <t>water accounted (m3/month)</t>
  </si>
  <si>
    <t>Total Losses (m3/month)</t>
  </si>
  <si>
    <t>Commercial losses (m3/month)</t>
  </si>
  <si>
    <t>Physical Losses (m3/month)</t>
  </si>
  <si>
    <t xml:space="preserve">% of Total Losse </t>
  </si>
  <si>
    <t>Average loss reduction %</t>
  </si>
  <si>
    <t>Meter errors (m3/month)</t>
  </si>
  <si>
    <t>Data handling errors (m3/month)</t>
  </si>
  <si>
    <t>llegal connections (m3/month)</t>
  </si>
  <si>
    <t xml:space="preserve">   Wrong Understanding </t>
  </si>
  <si>
    <t>Ezbet El Borg</t>
  </si>
  <si>
    <t>Z1</t>
  </si>
  <si>
    <t>S1-Z1</t>
  </si>
  <si>
    <t xml:space="preserve">Portable </t>
  </si>
  <si>
    <t>Before</t>
  </si>
  <si>
    <t>Av Ezbet El Borg</t>
  </si>
  <si>
    <t>After</t>
  </si>
  <si>
    <t>Kafr Hamedo</t>
  </si>
  <si>
    <t>S2-Z1</t>
  </si>
  <si>
    <t>El Shikh Dorgham</t>
  </si>
  <si>
    <t>S3-Z1</t>
  </si>
  <si>
    <t>Al Ratma</t>
  </si>
  <si>
    <t>S4-Z1</t>
  </si>
  <si>
    <t>Tabl</t>
  </si>
  <si>
    <t>S5-Z1</t>
  </si>
  <si>
    <t>Av Ras El Bar</t>
  </si>
  <si>
    <t>Al Khayata</t>
  </si>
  <si>
    <t>S6-Z1</t>
  </si>
  <si>
    <t>Ras El Bar</t>
  </si>
  <si>
    <t>Z2</t>
  </si>
  <si>
    <t>Gerby Casinos</t>
  </si>
  <si>
    <t>S1-Z2</t>
  </si>
  <si>
    <t xml:space="preserve">Fixed </t>
  </si>
  <si>
    <t>El Emtedad El Omrany</t>
  </si>
  <si>
    <t>S2-Z2</t>
  </si>
  <si>
    <t>Old Ras El Rar</t>
  </si>
  <si>
    <t>S3-Z2</t>
  </si>
  <si>
    <t>New-El Shikh Dorgham</t>
  </si>
  <si>
    <t>S4-Z2</t>
  </si>
  <si>
    <t xml:space="preserve">Damietta  </t>
  </si>
  <si>
    <t>Z3</t>
  </si>
  <si>
    <t>Shatta &amp; Sayala</t>
  </si>
  <si>
    <t>S1-Z3</t>
  </si>
  <si>
    <t>Fixed</t>
  </si>
  <si>
    <t xml:space="preserve">Before </t>
  </si>
  <si>
    <t xml:space="preserve">After </t>
  </si>
  <si>
    <t xml:space="preserve">Ghet El-Nasry </t>
  </si>
  <si>
    <t>S2-Z3</t>
  </si>
  <si>
    <t>Av Damietta</t>
  </si>
  <si>
    <t>Av for All</t>
  </si>
  <si>
    <t xml:space="preserve">Al-Ananya </t>
  </si>
  <si>
    <t>S3-Z3</t>
  </si>
  <si>
    <t xml:space="preserve">Al- Sharaa </t>
  </si>
  <si>
    <t>S4-Z3</t>
  </si>
  <si>
    <t>Al Harby&amp;Galaa</t>
  </si>
  <si>
    <t>S5-Z3</t>
  </si>
  <si>
    <t>Al-Sherabasy &amp; Mo3almeen Land</t>
  </si>
  <si>
    <t>S6-Z3</t>
  </si>
  <si>
    <t xml:space="preserve">Ezbet El Nahda </t>
  </si>
  <si>
    <t>Z4</t>
  </si>
  <si>
    <t xml:space="preserve">Ezbet Nahda &amp; Basarta </t>
  </si>
  <si>
    <t>S1-Z4</t>
  </si>
  <si>
    <t xml:space="preserve">Al-Bostan &amp;Kafr El-Bostan </t>
  </si>
  <si>
    <t xml:space="preserve">S2-Z4 </t>
  </si>
  <si>
    <t>Av Ezab Elm Nahda</t>
  </si>
  <si>
    <t xml:space="preserve">Al-Adalya </t>
  </si>
  <si>
    <t>S3-Z4</t>
  </si>
  <si>
    <t xml:space="preserve">Al-Roda </t>
  </si>
  <si>
    <t xml:space="preserve">Z6 </t>
  </si>
  <si>
    <t xml:space="preserve">EL-Roda </t>
  </si>
  <si>
    <t>S1-Z6</t>
  </si>
  <si>
    <t xml:space="preserve">Portabel </t>
  </si>
  <si>
    <t xml:space="preserve">Tafteesh Sro </t>
  </si>
  <si>
    <t>S2-Z6</t>
  </si>
  <si>
    <t>Av El Roda</t>
  </si>
  <si>
    <t xml:space="preserve">Rahmanya </t>
  </si>
  <si>
    <t>S3-Z6</t>
  </si>
  <si>
    <t>Abu Greda</t>
  </si>
  <si>
    <t>S4-Z6</t>
  </si>
  <si>
    <t xml:space="preserve">Al- Azazma </t>
  </si>
  <si>
    <t>S5-Z6</t>
  </si>
  <si>
    <t xml:space="preserve">Al-Ghanema </t>
  </si>
  <si>
    <t>S6-Z6</t>
  </si>
  <si>
    <t>Statistics</t>
  </si>
  <si>
    <t>Customers +</t>
  </si>
  <si>
    <t xml:space="preserve">% of feeding </t>
  </si>
  <si>
    <t>Total Ph Losses before m3/month</t>
  </si>
  <si>
    <t>Total Reduction m3/Year</t>
  </si>
  <si>
    <t>الروضه</t>
  </si>
  <si>
    <t>راس البر</t>
  </si>
  <si>
    <t>Before ALC</t>
  </si>
  <si>
    <t>After ALC</t>
  </si>
  <si>
    <t>Supplied</t>
  </si>
  <si>
    <t>Accounted</t>
  </si>
  <si>
    <t>Losses %</t>
  </si>
  <si>
    <t>% Redaction</t>
  </si>
  <si>
    <t>Damietta</t>
  </si>
  <si>
    <t>Nahda</t>
  </si>
  <si>
    <t>Rawda</t>
  </si>
  <si>
    <t>Av</t>
  </si>
  <si>
    <t>Describution</t>
  </si>
  <si>
    <t>Source</t>
  </si>
  <si>
    <t>Note</t>
  </si>
  <si>
    <t>Percent of the DMZ that were implemented (measuered through GIZ programm)the  to the total number of DMZ in the governorate</t>
  </si>
  <si>
    <t>(5) DMZ’s out of (10)</t>
  </si>
  <si>
    <t>DMZ's Customer  / total Customer  for the governorate  %</t>
  </si>
  <si>
    <t>Economic analysis Dept</t>
  </si>
  <si>
    <t>ALC results</t>
  </si>
  <si>
    <t>Av sale price</t>
  </si>
  <si>
    <t>Total saving  L.E/Year</t>
  </si>
  <si>
    <t>The ratio of the amount of water entering the project’s DMZ to the amount of water produced in the governorate</t>
  </si>
  <si>
    <t>ALC results/Economic analysis Dept</t>
  </si>
  <si>
    <t>The city of Ras El Bar is one of the coastal cities visited every year by more than a million visitors, 4 months a year .                                            - The amount of water produced monthly from Damietta Governorate supplies Port Said Governorate with one million cubic meters per month</t>
  </si>
  <si>
    <t xml:space="preserve">Output indicator 2.1                              </t>
  </si>
  <si>
    <t>What has been done</t>
  </si>
  <si>
    <r>
      <rPr>
        <b/>
        <sz val="14"/>
        <color rgb="FFC00000"/>
        <rFont val="Arial"/>
        <charset val="134"/>
      </rPr>
      <t>(2 )</t>
    </r>
    <r>
      <rPr>
        <sz val="14"/>
        <color rgb="FF000000"/>
        <rFont val="Arial"/>
        <charset val="134"/>
      </rPr>
      <t xml:space="preserve"> Industrial areas (each with estimated </t>
    </r>
    <r>
      <rPr>
        <b/>
        <sz val="14"/>
        <color rgb="FFC00000"/>
        <rFont val="Arial"/>
        <charset val="134"/>
      </rPr>
      <t>(40)</t>
    </r>
    <r>
      <rPr>
        <sz val="14"/>
        <color rgb="FF000000"/>
        <rFont val="Arial"/>
        <charset val="134"/>
      </rPr>
      <t xml:space="preserve"> companies)</t>
    </r>
  </si>
  <si>
    <r>
      <rPr>
        <b/>
        <sz val="14"/>
        <color rgb="FFC00000"/>
        <rFont val="Arial"/>
        <charset val="134"/>
      </rPr>
      <t>(2 )</t>
    </r>
    <r>
      <rPr>
        <sz val="14"/>
        <color rgb="FF000000"/>
        <rFont val="Arial"/>
        <charset val="134"/>
      </rPr>
      <t xml:space="preserve"> Industrial areas (each with estimated </t>
    </r>
    <r>
      <rPr>
        <b/>
        <sz val="14"/>
        <color rgb="FFC00000"/>
        <rFont val="Arial"/>
        <charset val="134"/>
      </rPr>
      <t>(550)</t>
    </r>
    <r>
      <rPr>
        <sz val="14"/>
        <color rgb="FF000000"/>
        <rFont val="Arial"/>
        <charset val="134"/>
      </rPr>
      <t xml:space="preserve"> companies)</t>
    </r>
  </si>
  <si>
    <r>
      <rPr>
        <b/>
        <sz val="14"/>
        <color rgb="FFC00000"/>
        <rFont val="Arial"/>
        <charset val="134"/>
      </rPr>
      <t>(18)</t>
    </r>
    <r>
      <rPr>
        <sz val="14"/>
        <color rgb="FF000000"/>
        <rFont val="Arial"/>
        <charset val="134"/>
      </rPr>
      <t xml:space="preserve"> communities (DMAs/DMZs) (with a total of estimated </t>
    </r>
    <r>
      <rPr>
        <b/>
        <sz val="14"/>
        <color rgb="FFC00000"/>
        <rFont val="Arial"/>
        <charset val="134"/>
      </rPr>
      <t>100,000</t>
    </r>
    <r>
      <rPr>
        <sz val="14"/>
        <color rgb="FF000000"/>
        <rFont val="Arial"/>
        <charset val="134"/>
      </rPr>
      <t xml:space="preserve"> customers) </t>
    </r>
  </si>
  <si>
    <r>
      <rPr>
        <b/>
        <sz val="14"/>
        <color rgb="FFC00000"/>
        <rFont val="Arial"/>
        <charset val="134"/>
      </rPr>
      <t>(30)</t>
    </r>
    <r>
      <rPr>
        <sz val="14"/>
        <color rgb="FF000000"/>
        <rFont val="Arial"/>
        <charset val="134"/>
      </rPr>
      <t xml:space="preserve"> communities (DMAs/DMZs) (with a total of estimated </t>
    </r>
    <r>
      <rPr>
        <b/>
        <sz val="14"/>
        <color rgb="FFC00000"/>
        <rFont val="Arial"/>
        <charset val="134"/>
      </rPr>
      <t>(101,950)</t>
    </r>
    <r>
      <rPr>
        <sz val="14"/>
        <color rgb="FF000000"/>
        <rFont val="Arial"/>
        <charset val="134"/>
      </rPr>
      <t xml:space="preserve"> customers) </t>
    </r>
  </si>
  <si>
    <r>
      <rPr>
        <sz val="14"/>
        <color rgb="FF000000"/>
        <rFont val="Arial"/>
        <charset val="134"/>
      </rPr>
      <t>Water losses have been reduced by an average of</t>
    </r>
    <r>
      <rPr>
        <b/>
        <sz val="14"/>
        <color rgb="FFC00000"/>
        <rFont val="Arial"/>
        <charset val="134"/>
      </rPr>
      <t xml:space="preserve"> (15%)</t>
    </r>
    <r>
      <rPr>
        <sz val="14"/>
        <color rgb="FF000000"/>
        <rFont val="Arial"/>
        <charset val="134"/>
      </rPr>
      <t>.</t>
    </r>
  </si>
  <si>
    <r>
      <rPr>
        <sz val="14"/>
        <color rgb="FF000000"/>
        <rFont val="Arial"/>
        <charset val="134"/>
      </rPr>
      <t xml:space="preserve">Water losses reduced by an average of </t>
    </r>
    <r>
      <rPr>
        <b/>
        <i/>
        <sz val="14"/>
        <color rgb="FFC00000"/>
        <rFont val="Arial"/>
        <charset val="134"/>
      </rPr>
      <t>(35.2 %).</t>
    </r>
  </si>
  <si>
    <t xml:space="preserve">جدول ملخص لنتائج تقليل الفاقد فى مناطق شركة مياه الشرب والصرف الصحي بدمياط </t>
  </si>
  <si>
    <t xml:space="preserve">كمية (م3) ونسبة % المياه التى تم توفيرها بمنطقة </t>
  </si>
  <si>
    <t>م</t>
  </si>
  <si>
    <t>إسم المنطقة الكبري DMZ</t>
  </si>
  <si>
    <t>Z</t>
  </si>
  <si>
    <t>كود المنطقة الصغري DMA</t>
  </si>
  <si>
    <t>إسم المنطقة الصغري DMA</t>
  </si>
  <si>
    <t>S</t>
  </si>
  <si>
    <t>نوع القياس</t>
  </si>
  <si>
    <t>قبل/بعد</t>
  </si>
  <si>
    <t>عدد المشتركين</t>
  </si>
  <si>
    <t>نسبة عدد المشتركين بالمنطقة لعدد المشتركين الكلي بالمحافظة %</t>
  </si>
  <si>
    <t>عدد السكان  بالمنطقة (نسمة)</t>
  </si>
  <si>
    <t>نسبة عدد السكان بالمنطقة لعدد السكان الكلي بالمحافظة %</t>
  </si>
  <si>
    <t>كمية المياه الداخلة (م3/ شهر)</t>
  </si>
  <si>
    <t>كمية المياه المحاسب عليها  (م3/شهر)</t>
  </si>
  <si>
    <t>كمية الفاقد التجاري  (م3)</t>
  </si>
  <si>
    <t>كمية الفاقد الفني الناتج من التسربات (م3)</t>
  </si>
  <si>
    <t>إجمالى كمية الفاقد  (م3)</t>
  </si>
  <si>
    <t>نسبة الفاقد الكلي %</t>
  </si>
  <si>
    <t>رجاء إدخال الأعداد</t>
  </si>
  <si>
    <t>الكمية  نتيجة أخطاء العدادات (م3)</t>
  </si>
  <si>
    <t>الكمية نتيجة أخطاء التسجيل والقراءات (م3)</t>
  </si>
  <si>
    <t xml:space="preserve"> الكمية المهدرة نتيجة الوصلات الخلسة (م3)</t>
  </si>
  <si>
    <t>عدد المشتركين الكلي</t>
  </si>
  <si>
    <t>22-23</t>
  </si>
  <si>
    <t>Z1.S1</t>
  </si>
  <si>
    <t>قبل</t>
  </si>
  <si>
    <t xml:space="preserve">8189
</t>
  </si>
  <si>
    <t>عدد السكان الكلي</t>
  </si>
  <si>
    <t>بعد</t>
  </si>
  <si>
    <t>عزبة البرج</t>
  </si>
  <si>
    <t>كفر حميدو</t>
  </si>
  <si>
    <t>Z1.S2</t>
  </si>
  <si>
    <t>كفرحميدو</t>
  </si>
  <si>
    <t>الشيخ درغام</t>
  </si>
  <si>
    <t>Z1.S3</t>
  </si>
  <si>
    <t xml:space="preserve">1199
</t>
  </si>
  <si>
    <t>الرطمة</t>
  </si>
  <si>
    <t>Z1.S4</t>
  </si>
  <si>
    <t xml:space="preserve">2049
</t>
  </si>
  <si>
    <t>طبل</t>
  </si>
  <si>
    <t>Z1.S5</t>
  </si>
  <si>
    <t xml:space="preserve">3319
</t>
  </si>
  <si>
    <t>الخياطة</t>
  </si>
  <si>
    <t>Z1.S6</t>
  </si>
  <si>
    <t>Z2.S1</t>
  </si>
  <si>
    <t>Z2.S2</t>
  </si>
  <si>
    <t>Z2.S3</t>
  </si>
  <si>
    <t>Z2.S4</t>
  </si>
  <si>
    <t>عزب النهضة والبصارطة</t>
  </si>
  <si>
    <t>Z4.S1</t>
  </si>
  <si>
    <t xml:space="preserve">بعد </t>
  </si>
  <si>
    <t xml:space="preserve">البستان وكفر البستان </t>
  </si>
  <si>
    <t>S2</t>
  </si>
  <si>
    <t>Z4.S2</t>
  </si>
  <si>
    <t>العدلية</t>
  </si>
  <si>
    <t>S3</t>
  </si>
  <si>
    <t>z4.s3</t>
  </si>
  <si>
    <t xml:space="preserve">الروضة </t>
  </si>
  <si>
    <t>Z6</t>
  </si>
  <si>
    <t>Z6.S1</t>
  </si>
  <si>
    <t xml:space="preserve">تفتيش السرو </t>
  </si>
  <si>
    <t>Z6.S2</t>
  </si>
  <si>
    <t xml:space="preserve">الرحامنة </t>
  </si>
  <si>
    <t>Z6.S3</t>
  </si>
  <si>
    <t xml:space="preserve">ابو جريدة </t>
  </si>
  <si>
    <t>Z6.S4</t>
  </si>
  <si>
    <t xml:space="preserve">العزازمة </t>
  </si>
  <si>
    <t>S5</t>
  </si>
  <si>
    <t>Z6.S5</t>
  </si>
  <si>
    <t xml:space="preserve">الغنيمية </t>
  </si>
  <si>
    <t>Z6.S6</t>
  </si>
  <si>
    <t xml:space="preserve">دمياط </t>
  </si>
  <si>
    <t xml:space="preserve">شطا والسيالة </t>
  </si>
  <si>
    <t>Z3.S1</t>
  </si>
  <si>
    <t xml:space="preserve">غيط النصاري </t>
  </si>
  <si>
    <t>Z3.S2</t>
  </si>
  <si>
    <t>العنانية</t>
  </si>
  <si>
    <t>Z3.S3</t>
  </si>
  <si>
    <t xml:space="preserve">الشعراء </t>
  </si>
  <si>
    <t>Z3.S4</t>
  </si>
  <si>
    <t>الحربي والجلاء</t>
  </si>
  <si>
    <t>Z3.S5</t>
  </si>
  <si>
    <t xml:space="preserve">الشرباصي وأرض المعلمين </t>
  </si>
  <si>
    <t>Z3.S6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</si>
</sst>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#,##0.0"/>
    <numFmt numFmtId="179" formatCode="0.0%"/>
  </numFmts>
  <fonts count="49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Arial"/>
      <charset val="134"/>
    </font>
    <font>
      <sz val="11"/>
      <color rgb="FF000000"/>
      <name val="Calibri"/>
      <charset val="134"/>
    </font>
    <font>
      <b/>
      <sz val="14"/>
      <color theme="0"/>
      <name val="Arial"/>
      <charset val="134"/>
    </font>
    <font>
      <sz val="14"/>
      <color rgb="FF000000"/>
      <name val="Arial"/>
      <charset val="134"/>
    </font>
    <font>
      <b/>
      <i/>
      <sz val="14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4"/>
      <color rgb="FFC00000"/>
      <name val="Arial"/>
      <charset val="134"/>
    </font>
    <font>
      <b/>
      <sz val="14"/>
      <color rgb="FFC00000"/>
      <name val="Arial"/>
      <charset val="134"/>
    </font>
  </fonts>
  <fills count="54">
    <fill>
      <patternFill patternType="none"/>
    </fill>
    <fill>
      <patternFill patternType="gray125"/>
    </fill>
    <fill>
      <patternFill patternType="solid">
        <fgColor theme="6" tint="0.799920651875362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A2EA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132F49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4">
    <border>
      <left/>
      <right/>
      <top/>
      <bottom/>
      <diagonal/>
    </border>
    <border>
      <left style="double">
        <color theme="0"/>
      </left>
      <right style="double">
        <color theme="0"/>
      </right>
      <top/>
      <bottom/>
      <diagonal/>
    </border>
    <border>
      <left/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theme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theme="0"/>
      </top>
      <bottom/>
      <diagonal/>
    </border>
    <border>
      <left style="double">
        <color auto="1"/>
      </left>
      <right style="double">
        <color auto="1"/>
      </right>
      <top/>
      <bottom style="thick">
        <color auto="1"/>
      </bottom>
      <diagonal/>
    </border>
    <border>
      <left style="double">
        <color theme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ouble">
        <color auto="1"/>
      </right>
      <top/>
      <bottom/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theme="1"/>
      </left>
      <right style="double">
        <color auto="1"/>
      </right>
      <top style="medium">
        <color auto="1"/>
      </top>
      <bottom/>
      <diagonal/>
    </border>
    <border>
      <left style="double">
        <color auto="1"/>
      </left>
      <right style="double">
        <color theme="1"/>
      </right>
      <top style="medium">
        <color auto="1"/>
      </top>
      <bottom/>
      <diagonal/>
    </border>
    <border>
      <left style="double">
        <color auto="1"/>
      </left>
      <right style="double">
        <color theme="1"/>
      </right>
      <top/>
      <bottom/>
      <diagonal/>
    </border>
    <border>
      <left style="double">
        <color auto="1"/>
      </left>
      <right style="double">
        <color theme="1"/>
      </right>
      <top/>
      <bottom style="medium">
        <color auto="1"/>
      </bottom>
      <diagonal/>
    </border>
    <border>
      <left/>
      <right style="double">
        <color theme="1"/>
      </right>
      <top/>
      <bottom/>
      <diagonal/>
    </border>
    <border>
      <left style="double">
        <color auto="1"/>
      </left>
      <right style="double">
        <color auto="1"/>
      </right>
      <top style="thick">
        <color auto="1"/>
      </top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thick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thick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/>
      <bottom style="double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theme="0"/>
      </right>
      <top/>
      <bottom style="double">
        <color auto="1"/>
      </bottom>
      <diagonal/>
    </border>
    <border>
      <left style="double">
        <color theme="0"/>
      </left>
      <right style="double">
        <color theme="0"/>
      </right>
      <top/>
      <bottom style="double">
        <color auto="1"/>
      </bottom>
      <diagonal/>
    </border>
    <border>
      <left style="double">
        <color theme="0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double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/>
      <top/>
      <bottom style="thick">
        <color auto="1"/>
      </bottom>
      <diagonal/>
    </border>
    <border>
      <left style="double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thick">
        <color auto="1"/>
      </right>
      <top/>
      <bottom/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 style="dashed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ck">
        <color auto="1"/>
      </bottom>
      <diagonal/>
    </border>
    <border>
      <left/>
      <right style="dashed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3" borderId="13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7" applyNumberFormat="0" applyFill="0" applyAlignment="0" applyProtection="0">
      <alignment vertical="center"/>
    </xf>
    <xf numFmtId="0" fontId="34" fillId="0" borderId="137" applyNumberFormat="0" applyFill="0" applyAlignment="0" applyProtection="0">
      <alignment vertical="center"/>
    </xf>
    <xf numFmtId="0" fontId="35" fillId="0" borderId="13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4" borderId="139" applyNumberFormat="0" applyAlignment="0" applyProtection="0">
      <alignment vertical="center"/>
    </xf>
    <xf numFmtId="0" fontId="37" fillId="25" borderId="140" applyNumberFormat="0" applyAlignment="0" applyProtection="0">
      <alignment vertical="center"/>
    </xf>
    <xf numFmtId="0" fontId="38" fillId="25" borderId="139" applyNumberFormat="0" applyAlignment="0" applyProtection="0">
      <alignment vertical="center"/>
    </xf>
    <xf numFmtId="0" fontId="39" fillId="26" borderId="141" applyNumberFormat="0" applyAlignment="0" applyProtection="0">
      <alignment vertical="center"/>
    </xf>
    <xf numFmtId="0" fontId="40" fillId="0" borderId="142" applyNumberFormat="0" applyFill="0" applyAlignment="0" applyProtection="0">
      <alignment vertical="center"/>
    </xf>
    <xf numFmtId="0" fontId="41" fillId="0" borderId="143" applyNumberFormat="0" applyFill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</cellStyleXfs>
  <cellXfs count="477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9" fontId="0" fillId="0" borderId="0" xfId="3" applyFont="1" applyAlignment="1" applyProtection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 wrapText="1"/>
      <protection locked="0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9" fontId="1" fillId="2" borderId="0" xfId="3" applyFont="1" applyFill="1" applyAlignment="1" applyProtection="1">
      <alignment horizontal="center" vertical="center"/>
      <protection locked="0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6" borderId="3" xfId="0" applyFont="1" applyFill="1" applyBorder="1" applyAlignment="1" applyProtection="1">
      <alignment horizontal="center" vertical="center" wrapText="1"/>
      <protection locked="0"/>
    </xf>
    <xf numFmtId="9" fontId="2" fillId="3" borderId="3" xfId="3" applyFont="1" applyFill="1" applyBorder="1" applyAlignment="1" applyProtection="1">
      <alignment horizontal="center" vertical="center" wrapText="1"/>
      <protection locked="0"/>
    </xf>
    <xf numFmtId="0" fontId="4" fillId="7" borderId="27" xfId="0" applyFont="1" applyFill="1" applyBorder="1" applyAlignment="1" applyProtection="1">
      <alignment horizontal="center" vertical="center" wrapText="1"/>
      <protection locked="0"/>
    </xf>
    <xf numFmtId="0" fontId="2" fillId="5" borderId="28" xfId="0" applyFont="1" applyFill="1" applyBorder="1" applyAlignment="1" applyProtection="1">
      <alignment horizontal="center" vertical="center"/>
      <protection locked="0"/>
    </xf>
    <xf numFmtId="0" fontId="2" fillId="6" borderId="5" xfId="0" applyFont="1" applyFill="1" applyBorder="1" applyAlignment="1" applyProtection="1">
      <alignment horizontal="center" vertical="center" wrapText="1"/>
      <protection locked="0"/>
    </xf>
    <xf numFmtId="9" fontId="2" fillId="3" borderId="5" xfId="3" applyFont="1" applyFill="1" applyBorder="1" applyAlignment="1" applyProtection="1">
      <alignment horizontal="center" vertical="center" wrapText="1"/>
      <protection locked="0"/>
    </xf>
    <xf numFmtId="0" fontId="0" fillId="5" borderId="29" xfId="0" applyFill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9" fontId="0" fillId="0" borderId="30" xfId="3" applyFont="1" applyFill="1" applyBorder="1" applyAlignment="1" applyProtection="1">
      <alignment horizontal="center" vertical="center"/>
    </xf>
    <xf numFmtId="0" fontId="0" fillId="5" borderId="31" xfId="0" applyFill="1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 wrapText="1"/>
      <protection locked="0"/>
    </xf>
    <xf numFmtId="9" fontId="0" fillId="0" borderId="31" xfId="3" applyFont="1" applyFill="1" applyBorder="1" applyAlignment="1" applyProtection="1">
      <alignment horizontal="center" vertical="center"/>
    </xf>
    <xf numFmtId="0" fontId="0" fillId="0" borderId="31" xfId="0" applyBorder="1" applyAlignment="1" applyProtection="1">
      <alignment horizontal="center" vertical="center"/>
      <protection locked="0"/>
    </xf>
    <xf numFmtId="0" fontId="0" fillId="5" borderId="32" xfId="0" applyFill="1" applyBorder="1" applyAlignment="1" applyProtection="1">
      <alignment horizontal="center" vertical="center"/>
      <protection locked="0"/>
    </xf>
    <xf numFmtId="0" fontId="0" fillId="0" borderId="32" xfId="0" applyBorder="1" applyAlignment="1" applyProtection="1">
      <alignment horizontal="center" vertical="center"/>
      <protection locked="0"/>
    </xf>
    <xf numFmtId="9" fontId="0" fillId="0" borderId="32" xfId="3" applyFont="1" applyFill="1" applyBorder="1" applyAlignment="1" applyProtection="1">
      <alignment horizontal="center" vertical="center"/>
    </xf>
    <xf numFmtId="0" fontId="0" fillId="5" borderId="33" xfId="0" applyFill="1" applyBorder="1" applyAlignment="1" applyProtection="1">
      <alignment horizontal="center" vertical="center"/>
      <protection locked="0"/>
    </xf>
    <xf numFmtId="0" fontId="0" fillId="5" borderId="34" xfId="0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" fontId="0" fillId="0" borderId="32" xfId="3" applyNumberFormat="1" applyFont="1" applyFill="1" applyBorder="1" applyAlignment="1" applyProtection="1">
      <alignment horizontal="center" vertical="center"/>
    </xf>
    <xf numFmtId="1" fontId="0" fillId="0" borderId="31" xfId="3" applyNumberFormat="1" applyFont="1" applyFill="1" applyBorder="1" applyAlignment="1" applyProtection="1">
      <alignment horizontal="center" vertical="center"/>
    </xf>
    <xf numFmtId="0" fontId="0" fillId="5" borderId="30" xfId="0" applyFill="1" applyBorder="1" applyAlignment="1" applyProtection="1">
      <alignment horizontal="center" vertical="center"/>
      <protection locked="0"/>
    </xf>
    <xf numFmtId="1" fontId="0" fillId="0" borderId="35" xfId="3" applyNumberFormat="1" applyFont="1" applyFill="1" applyBorder="1" applyAlignment="1" applyProtection="1">
      <alignment horizontal="center" vertical="center"/>
    </xf>
    <xf numFmtId="0" fontId="0" fillId="0" borderId="35" xfId="0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 applyProtection="1">
      <alignment horizontal="center" vertical="center"/>
      <protection locked="0"/>
    </xf>
    <xf numFmtId="9" fontId="4" fillId="4" borderId="16" xfId="3" applyFont="1" applyFill="1" applyBorder="1" applyAlignment="1" applyProtection="1">
      <alignment horizontal="center" vertical="center"/>
    </xf>
    <xf numFmtId="9" fontId="4" fillId="4" borderId="37" xfId="3" applyFont="1" applyFill="1" applyBorder="1" applyAlignment="1" applyProtection="1">
      <alignment horizontal="center" vertical="center"/>
    </xf>
    <xf numFmtId="0" fontId="0" fillId="8" borderId="15" xfId="0" applyFill="1" applyBorder="1" applyAlignment="1" applyProtection="1">
      <alignment horizontal="center" vertical="center"/>
      <protection locked="0"/>
    </xf>
    <xf numFmtId="0" fontId="4" fillId="9" borderId="15" xfId="0" applyFont="1" applyFill="1" applyBorder="1" applyAlignment="1" applyProtection="1">
      <alignment horizontal="center" vertical="center"/>
      <protection locked="0"/>
    </xf>
    <xf numFmtId="0" fontId="4" fillId="9" borderId="16" xfId="0" applyFont="1" applyFill="1" applyBorder="1" applyAlignment="1" applyProtection="1">
      <alignment horizontal="center" vertical="center"/>
      <protection locked="0"/>
    </xf>
    <xf numFmtId="0" fontId="0" fillId="5" borderId="38" xfId="0" applyFill="1" applyBorder="1" applyAlignment="1" applyProtection="1">
      <alignment horizontal="center" vertical="center"/>
      <protection locked="0"/>
    </xf>
    <xf numFmtId="1" fontId="0" fillId="0" borderId="32" xfId="0" applyNumberFormat="1" applyBorder="1" applyAlignment="1" applyProtection="1">
      <alignment horizontal="center" vertical="center"/>
      <protection locked="0"/>
    </xf>
    <xf numFmtId="0" fontId="0" fillId="5" borderId="39" xfId="0" applyFill="1" applyBorder="1" applyAlignment="1" applyProtection="1">
      <alignment horizontal="center" vertical="center"/>
      <protection locked="0"/>
    </xf>
    <xf numFmtId="1" fontId="0" fillId="0" borderId="31" xfId="0" applyNumberFormat="1" applyBorder="1" applyAlignment="1" applyProtection="1">
      <alignment horizontal="center" vertical="center"/>
      <protection locked="0"/>
    </xf>
    <xf numFmtId="0" fontId="0" fillId="5" borderId="40" xfId="0" applyFill="1" applyBorder="1" applyAlignment="1" applyProtection="1">
      <alignment horizontal="center" vertical="center"/>
      <protection locked="0"/>
    </xf>
    <xf numFmtId="1" fontId="0" fillId="0" borderId="30" xfId="0" applyNumberFormat="1" applyBorder="1" applyAlignment="1" applyProtection="1">
      <alignment horizontal="center" vertical="center"/>
      <protection locked="0"/>
    </xf>
    <xf numFmtId="0" fontId="0" fillId="5" borderId="41" xfId="0" applyFill="1" applyBorder="1" applyAlignment="1" applyProtection="1">
      <alignment horizontal="center" vertical="center"/>
      <protection locked="0"/>
    </xf>
    <xf numFmtId="9" fontId="0" fillId="0" borderId="35" xfId="3" applyFont="1" applyFill="1" applyBorder="1" applyAlignment="1" applyProtection="1">
      <alignment horizontal="center" vertical="center"/>
    </xf>
    <xf numFmtId="1" fontId="0" fillId="0" borderId="35" xfId="0" applyNumberFormat="1" applyBorder="1" applyAlignment="1" applyProtection="1">
      <alignment horizontal="center" vertical="center"/>
      <protection locked="0"/>
    </xf>
    <xf numFmtId="0" fontId="4" fillId="4" borderId="42" xfId="0" applyFont="1" applyFill="1" applyBorder="1" applyAlignment="1" applyProtection="1">
      <alignment horizontal="center" vertical="center"/>
      <protection locked="0"/>
    </xf>
    <xf numFmtId="9" fontId="4" fillId="4" borderId="42" xfId="3" applyFont="1" applyFill="1" applyBorder="1" applyAlignment="1" applyProtection="1">
      <alignment horizontal="center" vertical="center"/>
    </xf>
    <xf numFmtId="9" fontId="4" fillId="4" borderId="43" xfId="3" applyFont="1" applyFill="1" applyBorder="1" applyAlignment="1" applyProtection="1">
      <alignment horizontal="center" vertical="center"/>
    </xf>
    <xf numFmtId="1" fontId="0" fillId="8" borderId="44" xfId="0" applyNumberFormat="1" applyFill="1" applyBorder="1" applyAlignment="1" applyProtection="1">
      <alignment horizontal="center" vertical="center"/>
      <protection locked="0"/>
    </xf>
    <xf numFmtId="0" fontId="4" fillId="9" borderId="42" xfId="0" applyFont="1" applyFill="1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9" fontId="0" fillId="0" borderId="46" xfId="3" applyFont="1" applyBorder="1" applyAlignment="1" applyProtection="1">
      <alignment horizontal="center" vertical="center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 vertical="center"/>
      <protection locked="0"/>
    </xf>
    <xf numFmtId="9" fontId="0" fillId="0" borderId="48" xfId="3" applyFont="1" applyBorder="1" applyAlignment="1" applyProtection="1">
      <alignment horizontal="center" vertical="center"/>
    </xf>
    <xf numFmtId="0" fontId="0" fillId="0" borderId="48" xfId="0" applyBorder="1" applyAlignment="1" applyProtection="1">
      <alignment horizontal="center" vertical="center"/>
      <protection locked="0"/>
    </xf>
    <xf numFmtId="0" fontId="0" fillId="5" borderId="45" xfId="0" applyFill="1" applyBorder="1" applyAlignment="1" applyProtection="1">
      <alignment horizontal="center" vertical="center"/>
      <protection locked="0"/>
    </xf>
    <xf numFmtId="0" fontId="0" fillId="5" borderId="47" xfId="0" applyFill="1" applyBorder="1" applyAlignment="1" applyProtection="1">
      <alignment horizontal="center" vertical="center"/>
      <protection locked="0"/>
    </xf>
    <xf numFmtId="9" fontId="4" fillId="4" borderId="36" xfId="3" applyFont="1" applyFill="1" applyBorder="1" applyAlignment="1" applyProtection="1">
      <alignment horizontal="center" vertical="center"/>
    </xf>
    <xf numFmtId="9" fontId="4" fillId="4" borderId="49" xfId="3" applyFont="1" applyFill="1" applyBorder="1" applyAlignment="1" applyProtection="1">
      <alignment horizontal="center" vertical="center"/>
    </xf>
    <xf numFmtId="0" fontId="0" fillId="8" borderId="50" xfId="0" applyFill="1" applyBorder="1" applyAlignment="1" applyProtection="1">
      <alignment horizontal="center" vertical="center"/>
      <protection locked="0"/>
    </xf>
    <xf numFmtId="0" fontId="4" fillId="9" borderId="50" xfId="0" applyFont="1" applyFill="1" applyBorder="1" applyAlignment="1" applyProtection="1">
      <alignment horizontal="center" vertical="center"/>
      <protection locked="0"/>
    </xf>
    <xf numFmtId="0" fontId="4" fillId="9" borderId="36" xfId="0" applyFont="1" applyFill="1" applyBorder="1" applyAlignment="1" applyProtection="1">
      <alignment horizontal="center" vertical="center"/>
      <protection locked="0"/>
    </xf>
    <xf numFmtId="9" fontId="0" fillId="0" borderId="51" xfId="3" applyFont="1" applyFill="1" applyBorder="1" applyAlignment="1" applyProtection="1">
      <alignment horizontal="center" vertical="center"/>
    </xf>
    <xf numFmtId="0" fontId="0" fillId="0" borderId="52" xfId="0" applyBorder="1" applyAlignment="1" applyProtection="1">
      <alignment horizontal="center" vertical="center" wrapText="1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9" fontId="0" fillId="0" borderId="53" xfId="3" applyFont="1" applyFill="1" applyBorder="1" applyAlignment="1" applyProtection="1">
      <alignment horizontal="center" vertical="center"/>
    </xf>
    <xf numFmtId="0" fontId="0" fillId="0" borderId="54" xfId="0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5" borderId="55" xfId="0" applyFill="1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alignment horizontal="center" vertical="center"/>
      <protection locked="0"/>
    </xf>
    <xf numFmtId="9" fontId="0" fillId="0" borderId="40" xfId="3" applyFont="1" applyFill="1" applyBorder="1" applyAlignment="1" applyProtection="1">
      <alignment horizontal="center" vertical="center"/>
    </xf>
    <xf numFmtId="9" fontId="0" fillId="0" borderId="14" xfId="3" applyFont="1" applyFill="1" applyBorder="1" applyAlignment="1" applyProtection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5" borderId="56" xfId="0" applyFill="1" applyBorder="1" applyAlignment="1" applyProtection="1">
      <alignment horizontal="center" vertical="center"/>
      <protection locked="0"/>
    </xf>
    <xf numFmtId="0" fontId="0" fillId="0" borderId="54" xfId="0" applyBorder="1" applyAlignment="1" applyProtection="1">
      <alignment horizontal="center" vertical="center"/>
      <protection locked="0"/>
    </xf>
    <xf numFmtId="0" fontId="0" fillId="10" borderId="30" xfId="0" applyFill="1" applyBorder="1" applyAlignment="1" applyProtection="1">
      <alignment horizontal="center" vertical="center"/>
      <protection locked="0"/>
    </xf>
    <xf numFmtId="9" fontId="0" fillId="10" borderId="30" xfId="3" applyFont="1" applyFill="1" applyBorder="1" applyAlignment="1" applyProtection="1">
      <alignment horizontal="center" vertical="center"/>
    </xf>
    <xf numFmtId="0" fontId="0" fillId="10" borderId="26" xfId="0" applyFill="1" applyBorder="1" applyAlignment="1" applyProtection="1">
      <alignment horizontal="center" vertical="center"/>
      <protection locked="0"/>
    </xf>
    <xf numFmtId="9" fontId="0" fillId="10" borderId="51" xfId="3" applyFont="1" applyFill="1" applyBorder="1" applyAlignment="1" applyProtection="1">
      <alignment horizontal="center" vertical="center"/>
    </xf>
    <xf numFmtId="0" fontId="0" fillId="10" borderId="52" xfId="0" applyFill="1" applyBorder="1" applyAlignment="1" applyProtection="1">
      <alignment horizontal="center" vertical="center"/>
      <protection locked="0"/>
    </xf>
    <xf numFmtId="0" fontId="0" fillId="10" borderId="32" xfId="0" applyFill="1" applyBorder="1" applyAlignment="1" applyProtection="1">
      <alignment horizontal="center" vertical="center"/>
      <protection locked="0"/>
    </xf>
    <xf numFmtId="0" fontId="0" fillId="10" borderId="29" xfId="0" applyFill="1" applyBorder="1" applyAlignment="1" applyProtection="1">
      <alignment horizontal="center" vertical="center"/>
      <protection locked="0"/>
    </xf>
    <xf numFmtId="0" fontId="0" fillId="10" borderId="6" xfId="0" applyFill="1" applyBorder="1" applyAlignment="1" applyProtection="1">
      <alignment horizontal="center" vertical="center"/>
      <protection locked="0"/>
    </xf>
    <xf numFmtId="9" fontId="0" fillId="10" borderId="53" xfId="3" applyFont="1" applyFill="1" applyBorder="1" applyAlignment="1" applyProtection="1">
      <alignment horizontal="center" vertical="center"/>
    </xf>
    <xf numFmtId="0" fontId="0" fillId="10" borderId="3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horizontal="center" vertical="center"/>
      <protection locked="0"/>
    </xf>
    <xf numFmtId="0" fontId="0" fillId="5" borderId="53" xfId="0" applyFill="1" applyBorder="1" applyAlignment="1" applyProtection="1">
      <alignment horizontal="center" vertical="center"/>
      <protection locked="0"/>
    </xf>
    <xf numFmtId="9" fontId="0" fillId="0" borderId="57" xfId="3" applyFont="1" applyFill="1" applyBorder="1" applyAlignment="1" applyProtection="1">
      <alignment horizontal="center" vertical="center"/>
    </xf>
    <xf numFmtId="0" fontId="0" fillId="5" borderId="58" xfId="0" applyFill="1" applyBorder="1" applyAlignment="1" applyProtection="1">
      <alignment horizontal="center" vertical="center"/>
      <protection locked="0"/>
    </xf>
    <xf numFmtId="0" fontId="0" fillId="5" borderId="35" xfId="0" applyFill="1" applyBorder="1" applyAlignment="1" applyProtection="1">
      <alignment horizontal="center" vertical="center"/>
      <protection locked="0"/>
    </xf>
    <xf numFmtId="9" fontId="4" fillId="0" borderId="0" xfId="3" applyFont="1" applyFill="1" applyBorder="1" applyAlignment="1" applyProtection="1">
      <alignment horizontal="center" vertical="center"/>
    </xf>
    <xf numFmtId="9" fontId="0" fillId="0" borderId="0" xfId="3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7" borderId="59" xfId="0" applyFont="1" applyFill="1" applyBorder="1" applyAlignment="1" applyProtection="1">
      <alignment horizontal="center" vertical="center" wrapText="1"/>
      <protection locked="0"/>
    </xf>
    <xf numFmtId="0" fontId="4" fillId="7" borderId="2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0" fillId="4" borderId="60" xfId="0" applyFill="1" applyBorder="1" applyAlignment="1" applyProtection="1">
      <alignment horizontal="center" vertical="center" wrapText="1"/>
      <protection locked="0"/>
    </xf>
    <xf numFmtId="0" fontId="3" fillId="10" borderId="37" xfId="0" applyFont="1" applyFill="1" applyBorder="1" applyAlignment="1" applyProtection="1">
      <alignment horizontal="center" vertical="center"/>
      <protection locked="0"/>
    </xf>
    <xf numFmtId="1" fontId="0" fillId="0" borderId="30" xfId="3" applyNumberFormat="1" applyFont="1" applyFill="1" applyBorder="1" applyAlignment="1" applyProtection="1">
      <alignment horizontal="center" vertical="center"/>
    </xf>
    <xf numFmtId="9" fontId="0" fillId="0" borderId="0" xfId="3" applyFont="1" applyAlignment="1" applyProtection="1">
      <alignment horizontal="center" vertical="center"/>
      <protection locked="0"/>
    </xf>
    <xf numFmtId="9" fontId="0" fillId="0" borderId="55" xfId="3" applyFont="1" applyFill="1" applyBorder="1" applyAlignment="1" applyProtection="1">
      <alignment horizontal="center" vertical="center"/>
    </xf>
    <xf numFmtId="0" fontId="0" fillId="4" borderId="0" xfId="0" applyFill="1" applyAlignment="1" applyProtection="1">
      <alignment horizontal="center" vertical="center" wrapText="1"/>
      <protection locked="0"/>
    </xf>
    <xf numFmtId="0" fontId="0" fillId="0" borderId="32" xfId="3" applyNumberFormat="1" applyFont="1" applyFill="1" applyBorder="1" applyAlignment="1" applyProtection="1">
      <alignment horizontal="center" vertical="center"/>
    </xf>
    <xf numFmtId="0" fontId="0" fillId="0" borderId="31" xfId="3" applyNumberFormat="1" applyFont="1" applyFill="1" applyBorder="1" applyAlignment="1" applyProtection="1">
      <alignment horizontal="center" vertical="center"/>
    </xf>
    <xf numFmtId="0" fontId="0" fillId="8" borderId="61" xfId="0" applyFill="1" applyBorder="1" applyAlignment="1" applyProtection="1">
      <alignment horizontal="center" vertical="center"/>
      <protection locked="0"/>
    </xf>
    <xf numFmtId="2" fontId="0" fillId="8" borderId="62" xfId="3" applyNumberFormat="1" applyFont="1" applyFill="1" applyBorder="1" applyAlignment="1" applyProtection="1">
      <alignment horizontal="center" vertical="center"/>
      <protection locked="0"/>
    </xf>
    <xf numFmtId="9" fontId="0" fillId="10" borderId="0" xfId="3" applyFont="1" applyFill="1" applyAlignment="1" applyProtection="1">
      <alignment horizontal="center" vertical="center"/>
      <protection locked="0"/>
    </xf>
    <xf numFmtId="9" fontId="0" fillId="11" borderId="0" xfId="0" applyNumberFormat="1" applyFill="1" applyAlignment="1" applyProtection="1">
      <alignment horizontal="center" vertical="center"/>
      <protection locked="0"/>
    </xf>
    <xf numFmtId="1" fontId="0" fillId="8" borderId="17" xfId="0" applyNumberFormat="1" applyFill="1" applyBorder="1" applyAlignment="1" applyProtection="1">
      <alignment horizontal="center" vertical="center"/>
      <protection locked="0"/>
    </xf>
    <xf numFmtId="2" fontId="0" fillId="8" borderId="18" xfId="3" applyNumberFormat="1" applyFont="1" applyFill="1" applyBorder="1" applyAlignment="1" applyProtection="1">
      <alignment horizontal="center" vertical="center"/>
      <protection locked="0"/>
    </xf>
    <xf numFmtId="0" fontId="0" fillId="0" borderId="46" xfId="0" applyBorder="1" applyAlignment="1">
      <alignment horizontal="center" vertical="center"/>
    </xf>
    <xf numFmtId="9" fontId="0" fillId="0" borderId="63" xfId="3" applyFont="1" applyBorder="1" applyAlignment="1" applyProtection="1">
      <alignment horizontal="center" vertical="center"/>
    </xf>
    <xf numFmtId="0" fontId="0" fillId="0" borderId="48" xfId="0" applyBorder="1" applyAlignment="1">
      <alignment horizontal="center" vertical="center"/>
    </xf>
    <xf numFmtId="9" fontId="0" fillId="0" borderId="64" xfId="3" applyFont="1" applyBorder="1" applyAlignment="1" applyProtection="1">
      <alignment horizontal="center" vertical="center"/>
    </xf>
    <xf numFmtId="0" fontId="0" fillId="8" borderId="65" xfId="0" applyFill="1" applyBorder="1" applyAlignment="1" applyProtection="1">
      <alignment horizontal="center" vertical="center"/>
      <protection locked="0"/>
    </xf>
    <xf numFmtId="9" fontId="0" fillId="8" borderId="20" xfId="3" applyFont="1" applyFill="1" applyBorder="1" applyAlignment="1" applyProtection="1">
      <alignment horizontal="center" vertical="center"/>
      <protection locked="0"/>
    </xf>
    <xf numFmtId="1" fontId="0" fillId="10" borderId="6" xfId="3" applyNumberFormat="1" applyFont="1" applyFill="1" applyBorder="1" applyAlignment="1" applyProtection="1">
      <alignment horizontal="center" vertical="center"/>
    </xf>
    <xf numFmtId="9" fontId="0" fillId="10" borderId="6" xfId="3" applyFont="1" applyFill="1" applyBorder="1" applyAlignment="1" applyProtection="1">
      <alignment horizontal="center" vertical="center"/>
    </xf>
    <xf numFmtId="9" fontId="0" fillId="8" borderId="62" xfId="3" applyFont="1" applyFill="1" applyBorder="1" applyAlignment="1" applyProtection="1">
      <alignment horizontal="center" vertical="center"/>
      <protection locked="0"/>
    </xf>
    <xf numFmtId="0" fontId="4" fillId="9" borderId="37" xfId="0" applyFont="1" applyFill="1" applyBorder="1" applyAlignment="1" applyProtection="1">
      <alignment horizontal="center" vertical="center"/>
      <protection locked="0"/>
    </xf>
    <xf numFmtId="0" fontId="3" fillId="10" borderId="0" xfId="0" applyFont="1" applyFill="1" applyAlignment="1" applyProtection="1">
      <alignment horizontal="center" vertical="center"/>
      <protection locked="0"/>
    </xf>
    <xf numFmtId="16" fontId="3" fillId="10" borderId="0" xfId="0" applyNumberFormat="1" applyFont="1" applyFill="1" applyAlignment="1" applyProtection="1">
      <alignment horizontal="center" vertical="center"/>
      <protection locked="0"/>
    </xf>
    <xf numFmtId="0" fontId="10" fillId="0" borderId="3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1" fontId="0" fillId="0" borderId="0" xfId="0" applyNumberFormat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 wrapText="1" readingOrder="1"/>
    </xf>
    <xf numFmtId="0" fontId="12" fillId="12" borderId="45" xfId="0" applyFont="1" applyFill="1" applyBorder="1" applyAlignment="1">
      <alignment horizontal="left" vertical="center"/>
    </xf>
    <xf numFmtId="0" fontId="12" fillId="12" borderId="63" xfId="0" applyFont="1" applyFill="1" applyBorder="1" applyAlignment="1">
      <alignment horizontal="left" vertical="center"/>
    </xf>
    <xf numFmtId="0" fontId="13" fillId="0" borderId="66" xfId="0" applyFont="1" applyBorder="1" applyAlignment="1">
      <alignment horizontal="left" vertical="center" wrapText="1"/>
    </xf>
    <xf numFmtId="0" fontId="13" fillId="0" borderId="67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left" vertical="center" wrapText="1"/>
    </xf>
    <xf numFmtId="0" fontId="13" fillId="0" borderId="64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center" vertical="center"/>
    </xf>
    <xf numFmtId="0" fontId="14" fillId="13" borderId="63" xfId="0" applyFont="1" applyFill="1" applyBorder="1" applyAlignment="1">
      <alignment horizontal="center" vertical="center"/>
    </xf>
    <xf numFmtId="0" fontId="15" fillId="0" borderId="66" xfId="0" applyFont="1" applyBorder="1" applyAlignment="1">
      <alignment horizontal="center" vertical="center" wrapText="1"/>
    </xf>
    <xf numFmtId="9" fontId="15" fillId="0" borderId="68" xfId="0" applyNumberFormat="1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/>
    </xf>
    <xf numFmtId="10" fontId="15" fillId="0" borderId="68" xfId="0" applyNumberFormat="1" applyFont="1" applyBorder="1" applyAlignment="1">
      <alignment horizontal="center" vertical="center"/>
    </xf>
    <xf numFmtId="3" fontId="15" fillId="0" borderId="68" xfId="0" applyNumberFormat="1" applyFont="1" applyBorder="1" applyAlignment="1">
      <alignment horizontal="center" vertical="center"/>
    </xf>
    <xf numFmtId="0" fontId="15" fillId="0" borderId="66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5" fillId="0" borderId="47" xfId="0" applyFont="1" applyBorder="1" applyAlignment="1">
      <alignment horizontal="center" vertical="center" wrapText="1"/>
    </xf>
    <xf numFmtId="9" fontId="15" fillId="0" borderId="48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9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20" fillId="0" borderId="0" xfId="0" applyFont="1" applyAlignment="1">
      <alignment horizontal="center"/>
    </xf>
    <xf numFmtId="0" fontId="21" fillId="14" borderId="69" xfId="0" applyFont="1" applyFill="1" applyBorder="1" applyAlignment="1">
      <alignment horizontal="center"/>
    </xf>
    <xf numFmtId="0" fontId="21" fillId="14" borderId="70" xfId="0" applyFont="1" applyFill="1" applyBorder="1" applyAlignment="1">
      <alignment horizontal="center"/>
    </xf>
    <xf numFmtId="37" fontId="21" fillId="14" borderId="71" xfId="1" applyNumberFormat="1" applyFont="1" applyFill="1" applyBorder="1"/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 wrapText="1"/>
    </xf>
    <xf numFmtId="0" fontId="22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0" fillId="15" borderId="77" xfId="0" applyFill="1" applyBorder="1" applyAlignment="1">
      <alignment horizontal="center" vertical="center"/>
    </xf>
    <xf numFmtId="58" fontId="0" fillId="15" borderId="77" xfId="0" applyNumberForma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0" fillId="15" borderId="68" xfId="0" applyFill="1" applyBorder="1" applyAlignment="1">
      <alignment horizontal="center" vertical="center"/>
    </xf>
    <xf numFmtId="58" fontId="0" fillId="15" borderId="68" xfId="0" applyNumberFormat="1" applyFill="1" applyBorder="1" applyAlignment="1">
      <alignment horizontal="center" vertical="center"/>
    </xf>
    <xf numFmtId="0" fontId="0" fillId="16" borderId="68" xfId="0" applyFill="1" applyBorder="1" applyAlignment="1" applyProtection="1">
      <alignment horizontal="center" vertical="center" wrapText="1"/>
      <protection locked="0"/>
    </xf>
    <xf numFmtId="0" fontId="0" fillId="16" borderId="68" xfId="0" applyFill="1" applyBorder="1" applyAlignment="1">
      <alignment horizontal="center" vertical="center"/>
    </xf>
    <xf numFmtId="58" fontId="0" fillId="16" borderId="68" xfId="0" applyNumberFormat="1" applyFill="1" applyBorder="1" applyAlignment="1">
      <alignment horizontal="center" vertical="center"/>
    </xf>
    <xf numFmtId="0" fontId="0" fillId="15" borderId="68" xfId="0" applyFill="1" applyBorder="1" applyAlignment="1" applyProtection="1">
      <alignment horizontal="center" vertical="center" wrapText="1"/>
      <protection locked="0"/>
    </xf>
    <xf numFmtId="0" fontId="0" fillId="16" borderId="74" xfId="0" applyFill="1" applyBorder="1" applyAlignment="1" applyProtection="1">
      <alignment horizontal="center" vertical="center" wrapText="1"/>
      <protection locked="0"/>
    </xf>
    <xf numFmtId="0" fontId="0" fillId="16" borderId="74" xfId="0" applyFill="1" applyBorder="1" applyAlignment="1">
      <alignment horizontal="center" vertical="center"/>
    </xf>
    <xf numFmtId="58" fontId="0" fillId="16" borderId="74" xfId="0" applyNumberFormat="1" applyFill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0" fillId="15" borderId="83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0" fillId="16" borderId="85" xfId="0" applyFill="1" applyBorder="1" applyAlignment="1" applyProtection="1">
      <alignment horizontal="center" vertical="center" wrapText="1"/>
      <protection locked="0"/>
    </xf>
    <xf numFmtId="0" fontId="0" fillId="16" borderId="83" xfId="0" applyFill="1" applyBorder="1" applyAlignment="1" applyProtection="1">
      <alignment horizontal="center" vertical="center" wrapText="1"/>
      <protection locked="0"/>
    </xf>
    <xf numFmtId="0" fontId="0" fillId="15" borderId="85" xfId="0" applyFill="1" applyBorder="1" applyAlignment="1" applyProtection="1">
      <alignment horizontal="center" vertical="center" wrapText="1"/>
      <protection locked="0"/>
    </xf>
    <xf numFmtId="0" fontId="0" fillId="15" borderId="83" xfId="0" applyFill="1" applyBorder="1" applyAlignment="1" applyProtection="1">
      <alignment horizontal="center" vertical="center" wrapText="1"/>
      <protection locked="0"/>
    </xf>
    <xf numFmtId="0" fontId="0" fillId="16" borderId="86" xfId="0" applyFill="1" applyBorder="1" applyAlignment="1" applyProtection="1">
      <alignment horizontal="center" vertical="center" wrapText="1"/>
      <protection locked="0"/>
    </xf>
    <xf numFmtId="0" fontId="0" fillId="16" borderId="75" xfId="0" applyFill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87" xfId="0" applyFont="1" applyBorder="1" applyAlignment="1" applyProtection="1">
      <alignment horizontal="center" vertical="center" wrapText="1"/>
      <protection locked="0"/>
    </xf>
    <xf numFmtId="0" fontId="0" fillId="15" borderId="87" xfId="0" applyFill="1" applyBorder="1" applyAlignment="1" applyProtection="1">
      <alignment horizontal="center" vertical="center"/>
      <protection locked="0"/>
    </xf>
    <xf numFmtId="0" fontId="0" fillId="15" borderId="87" xfId="0" applyFill="1" applyBorder="1" applyAlignment="1" applyProtection="1">
      <alignment horizontal="center" vertical="center" wrapText="1"/>
      <protection locked="0"/>
    </xf>
    <xf numFmtId="0" fontId="0" fillId="15" borderId="87" xfId="0" applyFill="1" applyBorder="1" applyAlignment="1">
      <alignment horizontal="center"/>
    </xf>
    <xf numFmtId="0" fontId="0" fillId="15" borderId="87" xfId="0" applyFill="1" applyBorder="1" applyAlignment="1">
      <alignment horizontal="center" vertical="center"/>
    </xf>
    <xf numFmtId="58" fontId="0" fillId="15" borderId="87" xfId="0" applyNumberFormat="1" applyFill="1" applyBorder="1" applyAlignment="1">
      <alignment horizontal="center" vertical="center"/>
    </xf>
    <xf numFmtId="0" fontId="3" fillId="0" borderId="68" xfId="0" applyFont="1" applyBorder="1" applyAlignment="1" applyProtection="1">
      <alignment horizontal="center" vertical="center" wrapText="1"/>
      <protection locked="0"/>
    </xf>
    <xf numFmtId="0" fontId="0" fillId="15" borderId="68" xfId="0" applyFill="1" applyBorder="1" applyAlignment="1" applyProtection="1">
      <alignment horizontal="center" vertical="center"/>
      <protection locked="0"/>
    </xf>
    <xf numFmtId="0" fontId="0" fillId="15" borderId="68" xfId="0" applyFill="1" applyBorder="1" applyAlignment="1">
      <alignment horizontal="center"/>
    </xf>
    <xf numFmtId="0" fontId="0" fillId="16" borderId="86" xfId="0" applyFill="1" applyBorder="1" applyAlignment="1">
      <alignment horizontal="center"/>
    </xf>
    <xf numFmtId="0" fontId="0" fillId="16" borderId="87" xfId="0" applyFill="1" applyBorder="1" applyAlignment="1">
      <alignment horizontal="center"/>
    </xf>
    <xf numFmtId="0" fontId="0" fillId="15" borderId="86" xfId="0" applyFill="1" applyBorder="1" applyAlignment="1">
      <alignment horizontal="center"/>
    </xf>
    <xf numFmtId="0" fontId="23" fillId="16" borderId="68" xfId="0" applyFont="1" applyFill="1" applyBorder="1" applyAlignment="1" applyProtection="1">
      <alignment horizontal="center" vertical="center" wrapText="1"/>
      <protection locked="0"/>
    </xf>
    <xf numFmtId="0" fontId="3" fillId="0" borderId="88" xfId="0" applyFont="1" applyBorder="1" applyAlignment="1" applyProtection="1">
      <alignment horizontal="center" vertical="center"/>
      <protection locked="0"/>
    </xf>
    <xf numFmtId="0" fontId="3" fillId="0" borderId="74" xfId="0" applyFont="1" applyBorder="1" applyAlignment="1" applyProtection="1">
      <alignment horizontal="center" vertical="center" wrapText="1"/>
      <protection locked="0"/>
    </xf>
    <xf numFmtId="0" fontId="0" fillId="16" borderId="75" xfId="0" applyFill="1" applyBorder="1" applyAlignment="1">
      <alignment horizontal="center"/>
    </xf>
    <xf numFmtId="0" fontId="0" fillId="16" borderId="86" xfId="0" applyFill="1" applyBorder="1" applyAlignment="1">
      <alignment horizontal="center" vertical="center"/>
    </xf>
    <xf numFmtId="58" fontId="0" fillId="16" borderId="86" xfId="0" applyNumberForma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3" fillId="0" borderId="89" xfId="0" applyFont="1" applyBorder="1" applyAlignment="1" applyProtection="1">
      <alignment horizontal="center" vertical="center" wrapText="1"/>
      <protection locked="0"/>
    </xf>
    <xf numFmtId="0" fontId="0" fillId="15" borderId="90" xfId="0" applyFill="1" applyBorder="1" applyAlignment="1">
      <alignment horizontal="center" vertical="center" wrapText="1"/>
    </xf>
    <xf numFmtId="0" fontId="0" fillId="15" borderId="91" xfId="0" applyFill="1" applyBorder="1" applyAlignment="1">
      <alignment horizontal="center"/>
    </xf>
    <xf numFmtId="0" fontId="0" fillId="16" borderId="0" xfId="0" applyFill="1" applyAlignment="1">
      <alignment horizontal="center" vertical="center" wrapText="1"/>
    </xf>
    <xf numFmtId="0" fontId="0" fillId="16" borderId="87" xfId="0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6" borderId="90" xfId="0" applyFill="1" applyBorder="1" applyAlignment="1">
      <alignment horizontal="center" vertical="center" wrapText="1"/>
    </xf>
    <xf numFmtId="0" fontId="0" fillId="16" borderId="91" xfId="0" applyFill="1" applyBorder="1" applyAlignment="1">
      <alignment horizontal="center"/>
    </xf>
    <xf numFmtId="0" fontId="0" fillId="15" borderId="92" xfId="0" applyFill="1" applyBorder="1" applyAlignment="1">
      <alignment horizontal="center" vertical="center"/>
    </xf>
    <xf numFmtId="0" fontId="0" fillId="15" borderId="93" xfId="0" applyFill="1" applyBorder="1" applyAlignment="1">
      <alignment horizontal="center" vertical="center"/>
    </xf>
    <xf numFmtId="0" fontId="0" fillId="15" borderId="74" xfId="0" applyFill="1" applyBorder="1" applyAlignment="1">
      <alignment horizontal="center" vertical="center"/>
    </xf>
    <xf numFmtId="0" fontId="0" fillId="15" borderId="94" xfId="0" applyFill="1" applyBorder="1" applyAlignment="1">
      <alignment horizontal="center"/>
    </xf>
    <xf numFmtId="0" fontId="3" fillId="0" borderId="95" xfId="0" applyFont="1" applyBorder="1" applyAlignment="1" applyProtection="1">
      <alignment horizontal="center" vertical="center"/>
      <protection locked="0"/>
    </xf>
    <xf numFmtId="0" fontId="0" fillId="0" borderId="87" xfId="0" applyBorder="1" applyAlignment="1">
      <alignment horizontal="center"/>
    </xf>
    <xf numFmtId="0" fontId="0" fillId="0" borderId="84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58" fontId="0" fillId="0" borderId="87" xfId="0" applyNumberFormat="1" applyBorder="1" applyAlignment="1">
      <alignment horizontal="center" vertical="center"/>
    </xf>
    <xf numFmtId="0" fontId="3" fillId="0" borderId="66" xfId="0" applyFont="1" applyBorder="1" applyAlignment="1" applyProtection="1">
      <alignment horizontal="center" vertical="center"/>
      <protection locked="0"/>
    </xf>
    <xf numFmtId="0" fontId="0" fillId="0" borderId="68" xfId="0" applyBorder="1" applyAlignment="1">
      <alignment horizontal="center"/>
    </xf>
    <xf numFmtId="0" fontId="0" fillId="0" borderId="96" xfId="0" applyBorder="1" applyAlignment="1">
      <alignment horizontal="center" vertical="center"/>
    </xf>
    <xf numFmtId="58" fontId="0" fillId="0" borderId="96" xfId="0" applyNumberFormat="1" applyBorder="1" applyAlignment="1">
      <alignment horizontal="center" vertical="center"/>
    </xf>
    <xf numFmtId="0" fontId="0" fillId="15" borderId="96" xfId="0" applyFill="1" applyBorder="1" applyAlignment="1">
      <alignment horizontal="center" vertical="center"/>
    </xf>
    <xf numFmtId="58" fontId="0" fillId="15" borderId="96" xfId="0" applyNumberFormat="1" applyFill="1" applyBorder="1" applyAlignment="1">
      <alignment horizontal="center" vertical="center"/>
    </xf>
    <xf numFmtId="0" fontId="0" fillId="16" borderId="68" xfId="0" applyFill="1" applyBorder="1" applyAlignment="1">
      <alignment horizontal="center"/>
    </xf>
    <xf numFmtId="0" fontId="0" fillId="15" borderId="84" xfId="0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58" fontId="0" fillId="0" borderId="68" xfId="0" applyNumberFormat="1" applyBorder="1" applyAlignment="1">
      <alignment horizontal="center" vertical="center"/>
    </xf>
    <xf numFmtId="0" fontId="0" fillId="15" borderId="86" xfId="0" applyFill="1" applyBorder="1" applyAlignment="1">
      <alignment horizontal="center" vertical="center"/>
    </xf>
    <xf numFmtId="0" fontId="3" fillId="0" borderId="73" xfId="0" applyFont="1" applyBorder="1" applyAlignment="1" applyProtection="1">
      <alignment horizontal="center" vertical="center"/>
      <protection locked="0"/>
    </xf>
    <xf numFmtId="0" fontId="0" fillId="15" borderId="74" xfId="0" applyFill="1" applyBorder="1" applyAlignment="1">
      <alignment horizontal="center"/>
    </xf>
    <xf numFmtId="0" fontId="0" fillId="15" borderId="75" xfId="0" applyFill="1" applyBorder="1" applyAlignment="1">
      <alignment horizontal="center" vertical="center"/>
    </xf>
    <xf numFmtId="58" fontId="0" fillId="15" borderId="74" xfId="0" applyNumberFormat="1" applyFill="1" applyBorder="1" applyAlignment="1">
      <alignment horizontal="center" vertical="center"/>
    </xf>
    <xf numFmtId="0" fontId="1" fillId="17" borderId="97" xfId="0" applyFont="1" applyFill="1" applyBorder="1" applyAlignment="1">
      <alignment horizontal="center" vertical="center"/>
    </xf>
    <xf numFmtId="0" fontId="3" fillId="8" borderId="98" xfId="0" applyFont="1" applyFill="1" applyBorder="1" applyAlignment="1">
      <alignment horizontal="center" vertical="center"/>
    </xf>
    <xf numFmtId="0" fontId="3" fillId="8" borderId="99" xfId="0" applyFont="1" applyFill="1" applyBorder="1" applyAlignment="1">
      <alignment horizontal="center"/>
    </xf>
    <xf numFmtId="3" fontId="3" fillId="18" borderId="100" xfId="0" applyNumberFormat="1" applyFont="1" applyFill="1" applyBorder="1" applyAlignment="1">
      <alignment horizontal="center"/>
    </xf>
    <xf numFmtId="58" fontId="3" fillId="18" borderId="98" xfId="0" applyNumberFormat="1" applyFont="1" applyFill="1" applyBorder="1" applyAlignment="1">
      <alignment horizontal="center"/>
    </xf>
    <xf numFmtId="0" fontId="1" fillId="17" borderId="101" xfId="0" applyFont="1" applyFill="1" applyBorder="1" applyAlignment="1">
      <alignment horizontal="center" vertical="center"/>
    </xf>
    <xf numFmtId="0" fontId="3" fillId="8" borderId="102" xfId="0" applyFont="1" applyFill="1" applyBorder="1" applyAlignment="1">
      <alignment horizontal="center" vertical="center"/>
    </xf>
    <xf numFmtId="0" fontId="3" fillId="8" borderId="103" xfId="0" applyFont="1" applyFill="1" applyBorder="1" applyAlignment="1">
      <alignment horizontal="center"/>
    </xf>
    <xf numFmtId="3" fontId="3" fillId="18" borderId="104" xfId="0" applyNumberFormat="1" applyFont="1" applyFill="1" applyBorder="1" applyAlignment="1">
      <alignment horizontal="center"/>
    </xf>
    <xf numFmtId="58" fontId="3" fillId="18" borderId="102" xfId="0" applyNumberFormat="1" applyFont="1" applyFill="1" applyBorder="1" applyAlignment="1">
      <alignment horizontal="center"/>
    </xf>
    <xf numFmtId="0" fontId="1" fillId="17" borderId="105" xfId="0" applyFont="1" applyFill="1" applyBorder="1" applyAlignment="1">
      <alignment horizontal="center" vertical="center"/>
    </xf>
    <xf numFmtId="0" fontId="3" fillId="8" borderId="106" xfId="0" applyFont="1" applyFill="1" applyBorder="1" applyAlignment="1">
      <alignment horizontal="center" vertical="center"/>
    </xf>
    <xf numFmtId="0" fontId="3" fillId="8" borderId="107" xfId="0" applyFont="1" applyFill="1" applyBorder="1" applyAlignment="1">
      <alignment horizontal="center"/>
    </xf>
    <xf numFmtId="0" fontId="3" fillId="18" borderId="108" xfId="0" applyFont="1" applyFill="1" applyBorder="1" applyAlignment="1">
      <alignment horizontal="center" vertical="center"/>
    </xf>
    <xf numFmtId="58" fontId="3" fillId="18" borderId="106" xfId="0" applyNumberFormat="1" applyFont="1" applyFill="1" applyBorder="1" applyAlignment="1">
      <alignment horizontal="center"/>
    </xf>
    <xf numFmtId="0" fontId="24" fillId="10" borderId="68" xfId="0" applyFont="1" applyFill="1" applyBorder="1" applyAlignment="1">
      <alignment horizontal="center" vertical="center"/>
    </xf>
    <xf numFmtId="3" fontId="24" fillId="10" borderId="68" xfId="0" applyNumberFormat="1" applyFont="1" applyFill="1" applyBorder="1" applyAlignment="1">
      <alignment horizontal="center" vertical="center"/>
    </xf>
    <xf numFmtId="0" fontId="25" fillId="14" borderId="69" xfId="0" applyFont="1" applyFill="1" applyBorder="1" applyAlignment="1">
      <alignment horizontal="center"/>
    </xf>
    <xf numFmtId="3" fontId="3" fillId="0" borderId="72" xfId="0" applyNumberFormat="1" applyFont="1" applyBorder="1" applyAlignment="1">
      <alignment horizontal="center" vertical="center" wrapText="1"/>
    </xf>
    <xf numFmtId="0" fontId="25" fillId="19" borderId="46" xfId="0" applyFont="1" applyFill="1" applyBorder="1" applyAlignment="1">
      <alignment horizontal="center" vertical="center" wrapText="1"/>
    </xf>
    <xf numFmtId="3" fontId="3" fillId="0" borderId="75" xfId="0" applyNumberFormat="1" applyFont="1" applyBorder="1" applyAlignment="1">
      <alignment horizontal="center" vertical="center" wrapText="1"/>
    </xf>
    <xf numFmtId="0" fontId="3" fillId="20" borderId="74" xfId="0" applyFont="1" applyFill="1" applyBorder="1" applyAlignment="1">
      <alignment horizontal="center" vertical="center" wrapText="1"/>
    </xf>
    <xf numFmtId="10" fontId="0" fillId="15" borderId="79" xfId="3" applyNumberFormat="1" applyFont="1" applyFill="1" applyBorder="1" applyAlignment="1">
      <alignment horizontal="center" vertical="center"/>
    </xf>
    <xf numFmtId="3" fontId="0" fillId="15" borderId="77" xfId="0" applyNumberFormat="1" applyFill="1" applyBorder="1" applyAlignment="1">
      <alignment horizontal="center" vertical="center"/>
    </xf>
    <xf numFmtId="10" fontId="0" fillId="15" borderId="77" xfId="3" applyNumberFormat="1" applyFont="1" applyFill="1" applyBorder="1" applyAlignment="1">
      <alignment horizontal="center" vertical="center"/>
    </xf>
    <xf numFmtId="10" fontId="0" fillId="15" borderId="87" xfId="3" applyNumberFormat="1" applyFont="1" applyFill="1" applyBorder="1" applyAlignment="1">
      <alignment horizontal="center" vertical="center"/>
    </xf>
    <xf numFmtId="3" fontId="0" fillId="15" borderId="68" xfId="0" applyNumberFormat="1" applyFill="1" applyBorder="1" applyAlignment="1">
      <alignment horizontal="center" vertical="center"/>
    </xf>
    <xf numFmtId="10" fontId="0" fillId="15" borderId="68" xfId="3" applyNumberFormat="1" applyFont="1" applyFill="1" applyBorder="1" applyAlignment="1">
      <alignment horizontal="center" vertical="center"/>
    </xf>
    <xf numFmtId="10" fontId="0" fillId="16" borderId="86" xfId="3" applyNumberFormat="1" applyFont="1" applyFill="1" applyBorder="1" applyAlignment="1">
      <alignment horizontal="center" vertical="center"/>
    </xf>
    <xf numFmtId="3" fontId="0" fillId="16" borderId="68" xfId="0" applyNumberFormat="1" applyFill="1" applyBorder="1" applyAlignment="1">
      <alignment horizontal="center" vertical="center"/>
    </xf>
    <xf numFmtId="10" fontId="0" fillId="16" borderId="68" xfId="3" applyNumberFormat="1" applyFont="1" applyFill="1" applyBorder="1" applyAlignment="1">
      <alignment horizontal="center" vertical="center"/>
    </xf>
    <xf numFmtId="10" fontId="0" fillId="16" borderId="87" xfId="3" applyNumberFormat="1" applyFont="1" applyFill="1" applyBorder="1" applyAlignment="1">
      <alignment horizontal="center" vertical="center"/>
    </xf>
    <xf numFmtId="10" fontId="0" fillId="15" borderId="86" xfId="3" applyNumberFormat="1" applyFont="1" applyFill="1" applyBorder="1" applyAlignment="1">
      <alignment horizontal="center" vertical="center"/>
    </xf>
    <xf numFmtId="0" fontId="0" fillId="16" borderId="74" xfId="0" applyFill="1" applyBorder="1" applyAlignment="1">
      <alignment horizontal="center"/>
    </xf>
    <xf numFmtId="10" fontId="0" fillId="16" borderId="75" xfId="3" applyNumberFormat="1" applyFont="1" applyFill="1" applyBorder="1" applyAlignment="1">
      <alignment horizontal="center" vertical="center"/>
    </xf>
    <xf numFmtId="3" fontId="0" fillId="16" borderId="74" xfId="0" applyNumberFormat="1" applyFill="1" applyBorder="1" applyAlignment="1">
      <alignment horizontal="center" vertical="center"/>
    </xf>
    <xf numFmtId="10" fontId="0" fillId="16" borderId="74" xfId="3" applyNumberFormat="1" applyFont="1" applyFill="1" applyBorder="1" applyAlignment="1">
      <alignment horizontal="center" vertical="center"/>
    </xf>
    <xf numFmtId="0" fontId="0" fillId="15" borderId="77" xfId="0" applyFill="1" applyBorder="1" applyAlignment="1">
      <alignment horizontal="center"/>
    </xf>
    <xf numFmtId="10" fontId="0" fillId="15" borderId="84" xfId="3" applyNumberFormat="1" applyFont="1" applyFill="1" applyBorder="1" applyAlignment="1">
      <alignment horizontal="center" vertical="center"/>
    </xf>
    <xf numFmtId="10" fontId="0" fillId="16" borderId="109" xfId="3" applyNumberFormat="1" applyFont="1" applyFill="1" applyBorder="1" applyAlignment="1">
      <alignment horizontal="center" vertical="center"/>
    </xf>
    <xf numFmtId="3" fontId="0" fillId="16" borderId="86" xfId="0" applyNumberFormat="1" applyFill="1" applyBorder="1" applyAlignment="1">
      <alignment horizontal="center" vertical="center"/>
    </xf>
    <xf numFmtId="10" fontId="0" fillId="21" borderId="87" xfId="3" applyNumberFormat="1" applyFont="1" applyFill="1" applyBorder="1" applyAlignment="1">
      <alignment horizontal="center" vertical="center"/>
    </xf>
    <xf numFmtId="0" fontId="0" fillId="15" borderId="79" xfId="0" applyFill="1" applyBorder="1" applyAlignment="1">
      <alignment horizontal="center"/>
    </xf>
    <xf numFmtId="3" fontId="0" fillId="21" borderId="77" xfId="0" applyNumberFormat="1" applyFill="1" applyBorder="1" applyAlignment="1">
      <alignment horizontal="center" vertical="center"/>
    </xf>
    <xf numFmtId="0" fontId="0" fillId="15" borderId="87" xfId="0" applyFill="1" applyBorder="1"/>
    <xf numFmtId="10" fontId="0" fillId="21" borderId="68" xfId="3" applyNumberFormat="1" applyFont="1" applyFill="1" applyBorder="1" applyAlignment="1">
      <alignment horizontal="center" vertical="center"/>
    </xf>
    <xf numFmtId="0" fontId="0" fillId="15" borderId="68" xfId="0" applyFill="1" applyBorder="1"/>
    <xf numFmtId="0" fontId="0" fillId="16" borderId="68" xfId="0" applyFill="1" applyBorder="1"/>
    <xf numFmtId="3" fontId="0" fillId="21" borderId="68" xfId="0" applyNumberFormat="1" applyFill="1" applyBorder="1" applyAlignment="1">
      <alignment horizontal="center" vertical="center"/>
    </xf>
    <xf numFmtId="3" fontId="0" fillId="16" borderId="68" xfId="0" applyNumberFormat="1" applyFill="1" applyBorder="1" applyAlignment="1">
      <alignment horizontal="center"/>
    </xf>
    <xf numFmtId="3" fontId="0" fillId="16" borderId="74" xfId="0" applyNumberFormat="1" applyFill="1" applyBorder="1" applyAlignment="1">
      <alignment horizontal="center"/>
    </xf>
    <xf numFmtId="0" fontId="0" fillId="16" borderId="74" xfId="0" applyFill="1" applyBorder="1"/>
    <xf numFmtId="10" fontId="0" fillId="15" borderId="110" xfId="0" applyNumberFormat="1" applyFill="1" applyBorder="1" applyAlignment="1">
      <alignment horizontal="center" vertical="center"/>
    </xf>
    <xf numFmtId="3" fontId="0" fillId="15" borderId="87" xfId="0" applyNumberFormat="1" applyFill="1" applyBorder="1" applyAlignment="1">
      <alignment horizontal="center" vertical="center"/>
    </xf>
    <xf numFmtId="10" fontId="0" fillId="15" borderId="96" xfId="0" applyNumberFormat="1" applyFill="1" applyBorder="1" applyAlignment="1">
      <alignment horizontal="center" vertical="center"/>
    </xf>
    <xf numFmtId="3" fontId="0" fillId="16" borderId="87" xfId="0" applyNumberFormat="1" applyFill="1" applyBorder="1" applyAlignment="1">
      <alignment horizontal="center" vertical="center"/>
    </xf>
    <xf numFmtId="10" fontId="0" fillId="16" borderId="90" xfId="0" applyNumberFormat="1" applyFill="1" applyBorder="1" applyAlignment="1">
      <alignment horizontal="center" vertical="center"/>
    </xf>
    <xf numFmtId="10" fontId="0" fillId="16" borderId="96" xfId="0" applyNumberFormat="1" applyFill="1" applyBorder="1" applyAlignment="1">
      <alignment horizontal="center" vertical="center"/>
    </xf>
    <xf numFmtId="10" fontId="0" fillId="15" borderId="90" xfId="0" applyNumberFormat="1" applyFill="1" applyBorder="1" applyAlignment="1">
      <alignment horizontal="center" vertical="center"/>
    </xf>
    <xf numFmtId="3" fontId="0" fillId="15" borderId="87" xfId="0" applyNumberFormat="1" applyFill="1" applyBorder="1" applyAlignment="1">
      <alignment horizontal="center"/>
    </xf>
    <xf numFmtId="10" fontId="0" fillId="15" borderId="74" xfId="3" applyNumberFormat="1" applyFont="1" applyFill="1" applyBorder="1" applyAlignment="1">
      <alignment horizontal="center" vertical="center"/>
    </xf>
    <xf numFmtId="3" fontId="0" fillId="15" borderId="74" xfId="0" applyNumberFormat="1" applyFill="1" applyBorder="1" applyAlignment="1">
      <alignment horizontal="center" vertical="center"/>
    </xf>
    <xf numFmtId="10" fontId="0" fillId="15" borderId="111" xfId="0" applyNumberFormat="1" applyFill="1" applyBorder="1" applyAlignment="1">
      <alignment horizontal="center" vertical="center"/>
    </xf>
    <xf numFmtId="3" fontId="0" fillId="15" borderId="74" xfId="0" applyNumberFormat="1" applyFill="1" applyBorder="1" applyAlignment="1">
      <alignment horizontal="center"/>
    </xf>
    <xf numFmtId="3" fontId="0" fillId="0" borderId="87" xfId="0" applyNumberFormat="1" applyBorder="1" applyAlignment="1">
      <alignment horizontal="center"/>
    </xf>
    <xf numFmtId="10" fontId="0" fillId="0" borderId="87" xfId="3" applyNumberFormat="1" applyFont="1" applyBorder="1" applyAlignment="1">
      <alignment horizontal="center"/>
    </xf>
    <xf numFmtId="3" fontId="0" fillId="0" borderId="87" xfId="0" applyNumberFormat="1" applyBorder="1" applyAlignment="1">
      <alignment horizontal="center" vertical="center"/>
    </xf>
    <xf numFmtId="10" fontId="0" fillId="0" borderId="84" xfId="0" applyNumberFormat="1" applyBorder="1" applyAlignment="1">
      <alignment horizontal="center"/>
    </xf>
    <xf numFmtId="3" fontId="0" fillId="0" borderId="68" xfId="0" applyNumberFormat="1" applyBorder="1" applyAlignment="1">
      <alignment horizontal="center"/>
    </xf>
    <xf numFmtId="10" fontId="0" fillId="0" borderId="68" xfId="3" applyNumberFormat="1" applyFont="1" applyBorder="1" applyAlignment="1">
      <alignment horizontal="center"/>
    </xf>
    <xf numFmtId="3" fontId="0" fillId="0" borderId="68" xfId="0" applyNumberFormat="1" applyBorder="1" applyAlignment="1">
      <alignment horizontal="center" vertical="center"/>
    </xf>
    <xf numFmtId="10" fontId="0" fillId="0" borderId="87" xfId="0" applyNumberFormat="1" applyBorder="1" applyAlignment="1">
      <alignment horizontal="center"/>
    </xf>
    <xf numFmtId="3" fontId="0" fillId="15" borderId="68" xfId="0" applyNumberFormat="1" applyFill="1" applyBorder="1" applyAlignment="1">
      <alignment horizontal="center"/>
    </xf>
    <xf numFmtId="10" fontId="0" fillId="15" borderId="68" xfId="3" applyNumberFormat="1" applyFont="1" applyFill="1" applyBorder="1" applyAlignment="1">
      <alignment horizontal="center"/>
    </xf>
    <xf numFmtId="10" fontId="0" fillId="15" borderId="86" xfId="0" applyNumberFormat="1" applyFill="1" applyBorder="1" applyAlignment="1">
      <alignment horizontal="center"/>
    </xf>
    <xf numFmtId="10" fontId="0" fillId="15" borderId="87" xfId="0" applyNumberFormat="1" applyFill="1" applyBorder="1" applyAlignment="1">
      <alignment horizontal="center"/>
    </xf>
    <xf numFmtId="10" fontId="0" fillId="16" borderId="68" xfId="3" applyNumberFormat="1" applyFont="1" applyFill="1" applyBorder="1" applyAlignment="1">
      <alignment horizontal="center"/>
    </xf>
    <xf numFmtId="10" fontId="0" fillId="16" borderId="86" xfId="0" applyNumberFormat="1" applyFill="1" applyBorder="1" applyAlignment="1">
      <alignment horizontal="center"/>
    </xf>
    <xf numFmtId="3" fontId="0" fillId="16" borderId="86" xfId="0" applyNumberFormat="1" applyFill="1" applyBorder="1" applyAlignment="1">
      <alignment horizontal="center"/>
    </xf>
    <xf numFmtId="10" fontId="0" fillId="16" borderId="87" xfId="0" applyNumberFormat="1" applyFill="1" applyBorder="1" applyAlignment="1">
      <alignment horizontal="center"/>
    </xf>
    <xf numFmtId="10" fontId="0" fillId="0" borderId="86" xfId="0" applyNumberFormat="1" applyBorder="1" applyAlignment="1">
      <alignment horizontal="center"/>
    </xf>
    <xf numFmtId="10" fontId="0" fillId="15" borderId="75" xfId="3" applyNumberFormat="1" applyFont="1" applyFill="1" applyBorder="1" applyAlignment="1">
      <alignment horizontal="center" vertical="center"/>
    </xf>
    <xf numFmtId="10" fontId="0" fillId="15" borderId="75" xfId="0" applyNumberFormat="1" applyFill="1" applyBorder="1" applyAlignment="1">
      <alignment horizontal="center"/>
    </xf>
    <xf numFmtId="3" fontId="3" fillId="18" borderId="112" xfId="0" applyNumberFormat="1" applyFont="1" applyFill="1" applyBorder="1" applyAlignment="1">
      <alignment horizontal="center"/>
    </xf>
    <xf numFmtId="10" fontId="3" fillId="18" borderId="113" xfId="3" applyNumberFormat="1" applyFont="1" applyFill="1" applyBorder="1" applyAlignment="1">
      <alignment horizontal="center"/>
    </xf>
    <xf numFmtId="177" fontId="3" fillId="8" borderId="114" xfId="1" applyNumberFormat="1" applyFont="1" applyFill="1" applyBorder="1" applyAlignment="1">
      <alignment horizontal="center" vertical="center"/>
    </xf>
    <xf numFmtId="9" fontId="3" fillId="8" borderId="98" xfId="3" applyFont="1" applyFill="1" applyBorder="1" applyAlignment="1">
      <alignment horizontal="center" vertical="center"/>
    </xf>
    <xf numFmtId="3" fontId="3" fillId="8" borderId="98" xfId="0" applyNumberFormat="1" applyFont="1" applyFill="1" applyBorder="1" applyAlignment="1">
      <alignment horizontal="center" vertical="center"/>
    </xf>
    <xf numFmtId="3" fontId="3" fillId="18" borderId="115" xfId="0" applyNumberFormat="1" applyFont="1" applyFill="1" applyBorder="1" applyAlignment="1">
      <alignment horizontal="center"/>
    </xf>
    <xf numFmtId="10" fontId="3" fillId="18" borderId="116" xfId="3" applyNumberFormat="1" applyFont="1" applyFill="1" applyBorder="1" applyAlignment="1">
      <alignment horizontal="center"/>
    </xf>
    <xf numFmtId="177" fontId="3" fillId="8" borderId="117" xfId="1" applyNumberFormat="1" applyFont="1" applyFill="1" applyBorder="1" applyAlignment="1">
      <alignment horizontal="center" vertical="center"/>
    </xf>
    <xf numFmtId="9" fontId="3" fillId="8" borderId="102" xfId="3" applyFont="1" applyFill="1" applyBorder="1" applyAlignment="1">
      <alignment horizontal="center" vertical="center"/>
    </xf>
    <xf numFmtId="3" fontId="3" fillId="8" borderId="102" xfId="0" applyNumberFormat="1" applyFont="1" applyFill="1" applyBorder="1" applyAlignment="1">
      <alignment horizontal="center" vertical="center"/>
    </xf>
    <xf numFmtId="3" fontId="3" fillId="18" borderId="118" xfId="0" applyNumberFormat="1" applyFont="1" applyFill="1" applyBorder="1" applyAlignment="1">
      <alignment horizontal="center"/>
    </xf>
    <xf numFmtId="10" fontId="3" fillId="18" borderId="119" xfId="3" applyNumberFormat="1" applyFont="1" applyFill="1" applyBorder="1" applyAlignment="1">
      <alignment horizontal="center"/>
    </xf>
    <xf numFmtId="177" fontId="3" fillId="8" borderId="120" xfId="1" applyNumberFormat="1" applyFont="1" applyFill="1" applyBorder="1" applyAlignment="1">
      <alignment horizontal="center" vertical="center"/>
    </xf>
    <xf numFmtId="9" fontId="3" fillId="8" borderId="106" xfId="3" applyFont="1" applyFill="1" applyBorder="1" applyAlignment="1">
      <alignment horizontal="center" vertical="center"/>
    </xf>
    <xf numFmtId="3" fontId="3" fillId="8" borderId="10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3" fillId="0" borderId="0" xfId="0" applyFont="1"/>
    <xf numFmtId="0" fontId="25" fillId="14" borderId="70" xfId="0" applyFont="1" applyFill="1" applyBorder="1" applyAlignment="1">
      <alignment horizontal="center"/>
    </xf>
    <xf numFmtId="3" fontId="25" fillId="14" borderId="57" xfId="0" applyNumberFormat="1" applyFont="1" applyFill="1" applyBorder="1" applyAlignment="1">
      <alignment horizontal="center"/>
    </xf>
    <xf numFmtId="9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25" fillId="12" borderId="46" xfId="0" applyFont="1" applyFill="1" applyBorder="1" applyAlignment="1">
      <alignment horizontal="center" vertical="center" wrapText="1"/>
    </xf>
    <xf numFmtId="9" fontId="3" fillId="22" borderId="46" xfId="0" applyNumberFormat="1" applyFont="1" applyFill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25" fillId="12" borderId="74" xfId="0" applyFont="1" applyFill="1" applyBorder="1" applyAlignment="1">
      <alignment horizontal="center" vertical="center" wrapText="1"/>
    </xf>
    <xf numFmtId="9" fontId="3" fillId="22" borderId="74" xfId="0" applyNumberFormat="1" applyFont="1" applyFill="1" applyBorder="1" applyAlignment="1">
      <alignment horizontal="center" vertical="center" wrapText="1"/>
    </xf>
    <xf numFmtId="0" fontId="3" fillId="0" borderId="122" xfId="0" applyFont="1" applyBorder="1" applyAlignment="1">
      <alignment horizontal="center" vertical="center" wrapText="1"/>
    </xf>
    <xf numFmtId="0" fontId="26" fillId="12" borderId="123" xfId="0" applyFont="1" applyFill="1" applyBorder="1" applyAlignment="1">
      <alignment horizontal="center" vertical="center" wrapText="1"/>
    </xf>
    <xf numFmtId="9" fontId="0" fillId="15" borderId="77" xfId="3" applyFont="1" applyFill="1" applyBorder="1" applyAlignment="1">
      <alignment horizontal="center" vertical="center"/>
    </xf>
    <xf numFmtId="10" fontId="3" fillId="15" borderId="124" xfId="3" applyNumberFormat="1" applyFont="1" applyFill="1" applyBorder="1" applyAlignment="1">
      <alignment horizontal="center" vertical="center"/>
    </xf>
    <xf numFmtId="3" fontId="3" fillId="0" borderId="125" xfId="0" applyNumberFormat="1" applyFont="1" applyBorder="1" applyAlignment="1">
      <alignment horizontal="center" vertical="center" textRotation="90"/>
    </xf>
    <xf numFmtId="9" fontId="3" fillId="0" borderId="103" xfId="3" applyFont="1" applyBorder="1"/>
    <xf numFmtId="0" fontId="0" fillId="0" borderId="126" xfId="0" applyBorder="1"/>
    <xf numFmtId="9" fontId="0" fillId="10" borderId="68" xfId="3" applyFont="1" applyFill="1" applyBorder="1" applyAlignment="1">
      <alignment horizontal="center" vertical="center"/>
    </xf>
    <xf numFmtId="10" fontId="3" fillId="15" borderId="127" xfId="3" applyNumberFormat="1" applyFont="1" applyFill="1" applyBorder="1" applyAlignment="1">
      <alignment horizontal="center" vertical="center"/>
    </xf>
    <xf numFmtId="9" fontId="0" fillId="16" borderId="68" xfId="3" applyFont="1" applyFill="1" applyBorder="1" applyAlignment="1">
      <alignment horizontal="center" vertical="center"/>
    </xf>
    <xf numFmtId="10" fontId="3" fillId="16" borderId="127" xfId="3" applyNumberFormat="1" applyFont="1" applyFill="1" applyBorder="1" applyAlignment="1">
      <alignment horizontal="center" vertical="center"/>
    </xf>
    <xf numFmtId="9" fontId="0" fillId="15" borderId="68" xfId="3" applyFont="1" applyFill="1" applyBorder="1" applyAlignment="1">
      <alignment horizontal="center" vertical="center"/>
    </xf>
    <xf numFmtId="3" fontId="3" fillId="0" borderId="128" xfId="0" applyNumberFormat="1" applyFont="1" applyBorder="1" applyAlignment="1">
      <alignment horizontal="center" vertical="center" textRotation="90"/>
    </xf>
    <xf numFmtId="10" fontId="25" fillId="12" borderId="107" xfId="0" applyNumberFormat="1" applyFont="1" applyFill="1" applyBorder="1"/>
    <xf numFmtId="3" fontId="3" fillId="0" borderId="129" xfId="0" applyNumberFormat="1" applyFont="1" applyBorder="1" applyAlignment="1">
      <alignment horizontal="center" vertical="center" textRotation="90" wrapText="1"/>
    </xf>
    <xf numFmtId="10" fontId="3" fillId="0" borderId="99" xfId="3" applyNumberFormat="1" applyFont="1" applyBorder="1"/>
    <xf numFmtId="3" fontId="3" fillId="0" borderId="125" xfId="0" applyNumberFormat="1" applyFont="1" applyBorder="1" applyAlignment="1">
      <alignment horizontal="center" vertical="center" textRotation="90" wrapText="1"/>
    </xf>
    <xf numFmtId="10" fontId="3" fillId="0" borderId="103" xfId="3" applyNumberFormat="1" applyFont="1" applyBorder="1"/>
    <xf numFmtId="10" fontId="3" fillId="16" borderId="122" xfId="3" applyNumberFormat="1" applyFont="1" applyFill="1" applyBorder="1" applyAlignment="1">
      <alignment horizontal="center" vertical="center"/>
    </xf>
    <xf numFmtId="10" fontId="0" fillId="0" borderId="0" xfId="3" applyNumberFormat="1" applyFont="1" applyBorder="1"/>
    <xf numFmtId="3" fontId="3" fillId="0" borderId="128" xfId="0" applyNumberFormat="1" applyFont="1" applyBorder="1" applyAlignment="1">
      <alignment horizontal="center" vertical="center" textRotation="90" wrapText="1"/>
    </xf>
    <xf numFmtId="0" fontId="3" fillId="0" borderId="126" xfId="0" applyFont="1" applyBorder="1"/>
    <xf numFmtId="10" fontId="3" fillId="16" borderId="130" xfId="3" applyNumberFormat="1" applyFont="1" applyFill="1" applyBorder="1" applyAlignment="1">
      <alignment horizontal="center" vertical="center"/>
    </xf>
    <xf numFmtId="1" fontId="0" fillId="16" borderId="87" xfId="3" applyNumberFormat="1" applyFont="1" applyFill="1" applyBorder="1" applyAlignment="1" applyProtection="1">
      <alignment horizontal="center" vertical="center"/>
    </xf>
    <xf numFmtId="9" fontId="0" fillId="21" borderId="77" xfId="3" applyFont="1" applyFill="1" applyBorder="1" applyAlignment="1">
      <alignment horizontal="center" vertical="center"/>
    </xf>
    <xf numFmtId="10" fontId="3" fillId="21" borderId="124" xfId="3" applyNumberFormat="1" applyFont="1" applyFill="1" applyBorder="1" applyAlignment="1">
      <alignment horizontal="center" vertical="center"/>
    </xf>
    <xf numFmtId="10" fontId="3" fillId="21" borderId="127" xfId="3" applyNumberFormat="1" applyFont="1" applyFill="1" applyBorder="1" applyAlignment="1">
      <alignment horizontal="center" vertical="center"/>
    </xf>
    <xf numFmtId="0" fontId="0" fillId="0" borderId="94" xfId="0" applyBorder="1"/>
    <xf numFmtId="0" fontId="3" fillId="0" borderId="129" xfId="0" applyFont="1" applyBorder="1" applyAlignment="1">
      <alignment horizontal="center" vertical="center" textRotation="90"/>
    </xf>
    <xf numFmtId="9" fontId="3" fillId="0" borderId="99" xfId="0" applyNumberFormat="1" applyFont="1" applyBorder="1"/>
    <xf numFmtId="0" fontId="3" fillId="0" borderId="125" xfId="0" applyFont="1" applyBorder="1" applyAlignment="1">
      <alignment horizontal="center" vertical="center" textRotation="90"/>
    </xf>
    <xf numFmtId="9" fontId="3" fillId="0" borderId="103" xfId="0" applyNumberFormat="1" applyFont="1" applyBorder="1"/>
    <xf numFmtId="9" fontId="0" fillId="21" borderId="68" xfId="3" applyFont="1" applyFill="1" applyBorder="1" applyAlignment="1">
      <alignment horizontal="center" vertical="center"/>
    </xf>
    <xf numFmtId="10" fontId="3" fillId="16" borderId="131" xfId="3" applyNumberFormat="1" applyFont="1" applyFill="1" applyBorder="1" applyAlignment="1">
      <alignment horizontal="center" vertical="center"/>
    </xf>
    <xf numFmtId="0" fontId="3" fillId="0" borderId="128" xfId="0" applyFont="1" applyBorder="1" applyAlignment="1">
      <alignment horizontal="center" vertical="center" textRotation="90"/>
    </xf>
    <xf numFmtId="10" fontId="3" fillId="21" borderId="131" xfId="3" applyNumberFormat="1" applyFont="1" applyFill="1" applyBorder="1" applyAlignment="1">
      <alignment horizontal="center" vertical="center"/>
    </xf>
    <xf numFmtId="9" fontId="25" fillId="12" borderId="107" xfId="3" applyFont="1" applyFill="1" applyBorder="1"/>
    <xf numFmtId="1" fontId="0" fillId="16" borderId="74" xfId="3" applyNumberFormat="1" applyFont="1" applyFill="1" applyBorder="1" applyAlignment="1" applyProtection="1">
      <alignment horizontal="center" vertical="center"/>
    </xf>
    <xf numFmtId="178" fontId="0" fillId="15" borderId="77" xfId="0" applyNumberFormat="1" applyFill="1" applyBorder="1" applyAlignment="1">
      <alignment horizontal="center" vertical="center"/>
    </xf>
    <xf numFmtId="9" fontId="0" fillId="15" borderId="68" xfId="3" applyNumberFormat="1" applyFont="1" applyFill="1" applyBorder="1" applyAlignment="1">
      <alignment horizontal="center" vertical="center"/>
    </xf>
    <xf numFmtId="10" fontId="3" fillId="15" borderId="131" xfId="0" applyNumberFormat="1" applyFont="1" applyFill="1" applyBorder="1" applyAlignment="1">
      <alignment horizontal="center" vertical="center"/>
    </xf>
    <xf numFmtId="178" fontId="0" fillId="15" borderId="68" xfId="0" applyNumberFormat="1" applyFill="1" applyBorder="1" applyAlignment="1">
      <alignment horizontal="center" vertical="center"/>
    </xf>
    <xf numFmtId="9" fontId="0" fillId="10" borderId="68" xfId="3" applyNumberFormat="1" applyFont="1" applyFill="1" applyBorder="1" applyAlignment="1">
      <alignment horizontal="center" vertical="center"/>
    </xf>
    <xf numFmtId="10" fontId="3" fillId="15" borderId="127" xfId="0" applyNumberFormat="1" applyFont="1" applyFill="1" applyBorder="1" applyAlignment="1">
      <alignment horizontal="center" vertical="center"/>
    </xf>
    <xf numFmtId="178" fontId="0" fillId="16" borderId="87" xfId="0" applyNumberFormat="1" applyFill="1" applyBorder="1" applyAlignment="1">
      <alignment horizontal="center" vertical="center"/>
    </xf>
    <xf numFmtId="9" fontId="0" fillId="16" borderId="87" xfId="3" applyFont="1" applyFill="1" applyBorder="1" applyAlignment="1">
      <alignment horizontal="center" vertical="center"/>
    </xf>
    <xf numFmtId="10" fontId="3" fillId="16" borderId="131" xfId="0" applyNumberFormat="1" applyFont="1" applyFill="1" applyBorder="1" applyAlignment="1">
      <alignment horizontal="center" vertical="center"/>
    </xf>
    <xf numFmtId="179" fontId="3" fillId="0" borderId="99" xfId="3" applyNumberFormat="1" applyFont="1" applyBorder="1"/>
    <xf numFmtId="178" fontId="0" fillId="16" borderId="68" xfId="0" applyNumberFormat="1" applyFill="1" applyBorder="1" applyAlignment="1">
      <alignment horizontal="center" vertical="center"/>
    </xf>
    <xf numFmtId="10" fontId="3" fillId="16" borderId="127" xfId="0" applyNumberFormat="1" applyFont="1" applyFill="1" applyBorder="1" applyAlignment="1">
      <alignment horizontal="center" vertical="center"/>
    </xf>
    <xf numFmtId="179" fontId="3" fillId="0" borderId="103" xfId="3" applyNumberFormat="1" applyFont="1" applyBorder="1"/>
    <xf numFmtId="178" fontId="0" fillId="15" borderId="87" xfId="0" applyNumberFormat="1" applyFill="1" applyBorder="1" applyAlignment="1">
      <alignment horizontal="center" vertical="center"/>
    </xf>
    <xf numFmtId="9" fontId="0" fillId="15" borderId="87" xfId="3" applyFont="1" applyFill="1" applyBorder="1" applyAlignment="1">
      <alignment horizontal="center" vertical="center"/>
    </xf>
    <xf numFmtId="178" fontId="0" fillId="15" borderId="74" xfId="0" applyNumberFormat="1" applyFill="1" applyBorder="1" applyAlignment="1">
      <alignment horizontal="center" vertical="center"/>
    </xf>
    <xf numFmtId="10" fontId="3" fillId="15" borderId="122" xfId="0" applyNumberFormat="1" applyFont="1" applyFill="1" applyBorder="1" applyAlignment="1">
      <alignment horizontal="center" vertical="center"/>
    </xf>
    <xf numFmtId="179" fontId="25" fillId="12" borderId="107" xfId="0" applyNumberFormat="1" applyFont="1" applyFill="1" applyBorder="1"/>
    <xf numFmtId="4" fontId="0" fillId="0" borderId="0" xfId="0" applyNumberFormat="1"/>
    <xf numFmtId="4" fontId="3" fillId="0" borderId="129" xfId="0" applyNumberFormat="1" applyFont="1" applyBorder="1" applyAlignment="1">
      <alignment horizontal="center" vertical="center" textRotation="90"/>
    </xf>
    <xf numFmtId="4" fontId="3" fillId="0" borderId="125" xfId="0" applyNumberFormat="1" applyFont="1" applyBorder="1" applyAlignment="1">
      <alignment horizontal="center" vertical="center" textRotation="90"/>
    </xf>
    <xf numFmtId="4" fontId="3" fillId="0" borderId="128" xfId="0" applyNumberFormat="1" applyFont="1" applyBorder="1" applyAlignment="1">
      <alignment horizontal="center" vertical="center" textRotation="90"/>
    </xf>
    <xf numFmtId="4" fontId="0" fillId="0" borderId="94" xfId="0" applyNumberFormat="1" applyBorder="1"/>
    <xf numFmtId="10" fontId="3" fillId="8" borderId="99" xfId="0" applyNumberFormat="1" applyFont="1" applyFill="1" applyBorder="1" applyAlignment="1">
      <alignment horizontal="center" vertical="center"/>
    </xf>
    <xf numFmtId="10" fontId="3" fillId="8" borderId="103" xfId="0" applyNumberFormat="1" applyFont="1" applyFill="1" applyBorder="1" applyAlignment="1">
      <alignment horizontal="center" vertical="center"/>
    </xf>
    <xf numFmtId="10" fontId="3" fillId="8" borderId="107" xfId="0" applyNumberFormat="1" applyFont="1" applyFill="1" applyBorder="1" applyAlignment="1">
      <alignment horizontal="center" vertical="center"/>
    </xf>
    <xf numFmtId="0" fontId="27" fillId="10" borderId="0" xfId="0" applyFont="1" applyFill="1" applyAlignment="1">
      <alignment horizontal="center" vertical="center" wrapText="1"/>
    </xf>
    <xf numFmtId="3" fontId="27" fillId="10" borderId="0" xfId="0" applyNumberFormat="1" applyFont="1" applyFill="1" applyAlignment="1">
      <alignment horizontal="center" vertical="center"/>
    </xf>
    <xf numFmtId="9" fontId="27" fillId="22" borderId="0" xfId="0" applyNumberFormat="1" applyFont="1" applyFill="1" applyAlignment="1">
      <alignment horizontal="center" vertical="center" wrapText="1"/>
    </xf>
    <xf numFmtId="3" fontId="27" fillId="22" borderId="0" xfId="0" applyNumberFormat="1" applyFont="1" applyFill="1" applyAlignment="1">
      <alignment horizontal="center" vertical="center"/>
    </xf>
    <xf numFmtId="0" fontId="26" fillId="12" borderId="132" xfId="0" applyFont="1" applyFill="1" applyBorder="1" applyAlignment="1">
      <alignment horizontal="center" vertical="center" wrapText="1"/>
    </xf>
    <xf numFmtId="0" fontId="0" fillId="0" borderId="133" xfId="0" applyBorder="1"/>
    <xf numFmtId="0" fontId="0" fillId="0" borderId="134" xfId="0" applyBorder="1"/>
    <xf numFmtId="0" fontId="3" fillId="0" borderId="134" xfId="0" applyFont="1" applyBorder="1"/>
    <xf numFmtId="0" fontId="0" fillId="0" borderId="135" xfId="0" applyBorder="1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A2EA2"/>
      <color rgb="00132F49"/>
      <color rgb="00FAD9C2"/>
      <color rgb="000060A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1"/>
  <sheetViews>
    <sheetView zoomScale="71" zoomScaleNormal="71" topLeftCell="F1" workbookViewId="0">
      <pane ySplit="4" topLeftCell="A6" activePane="bottomLeft" state="frozen"/>
      <selection/>
      <selection pane="bottomLeft" activeCell="P6" sqref="P6"/>
    </sheetView>
  </sheetViews>
  <sheetFormatPr defaultColWidth="9" defaultRowHeight="14.4"/>
  <cols>
    <col min="1" max="1" width="15.859649122807" customWidth="1"/>
    <col min="2" max="2" width="12.859649122807" customWidth="1"/>
    <col min="3" max="3" width="10.859649122807" customWidth="1"/>
    <col min="4" max="5" width="18.859649122807" customWidth="1"/>
    <col min="6" max="6" width="12.4298245614035" style="193" customWidth="1"/>
    <col min="7" max="7" width="18.140350877193" customWidth="1"/>
    <col min="8" max="8" width="27.4298245614035" customWidth="1"/>
    <col min="9" max="9" width="28.7105263157895" customWidth="1"/>
    <col min="10" max="10" width="32" style="194" customWidth="1"/>
    <col min="11" max="11" width="29.2894736842105" customWidth="1"/>
    <col min="12" max="12" width="33.859649122807" customWidth="1"/>
    <col min="13" max="13" width="15.859649122807" style="193" customWidth="1"/>
    <col min="14" max="14" width="15.4298245614035" style="193" customWidth="1"/>
    <col min="15" max="15" width="14.140350877193" customWidth="1"/>
    <col min="16" max="16" width="13.859649122807" customWidth="1"/>
    <col min="17" max="17" width="14.140350877193" customWidth="1"/>
    <col min="18" max="18" width="15.140350877193" customWidth="1"/>
    <col min="19" max="19" width="17.859649122807" customWidth="1"/>
    <col min="20" max="20" width="14" style="195" customWidth="1"/>
    <col min="21" max="21" width="19.140350877193" customWidth="1"/>
    <col min="22" max="22" width="37.7105263157895" customWidth="1" outlineLevel="1"/>
    <col min="23" max="23" width="12.859649122807" customWidth="1" outlineLevel="1"/>
    <col min="24" max="24" width="5.14035087719298" customWidth="1" outlineLevel="1"/>
    <col min="25" max="25" width="7.42982456140351" customWidth="1" outlineLevel="1"/>
    <col min="26" max="26" width="8.85964912280702" customWidth="1"/>
  </cols>
  <sheetData>
    <row r="1" s="192" customFormat="1" ht="23.45" customHeight="1" spans="2:23">
      <c r="B1" s="196" t="s">
        <v>0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W1" s="391" t="s">
        <v>1</v>
      </c>
    </row>
    <row r="2" ht="19.05" spans="2:23">
      <c r="B2" s="197" t="s">
        <v>2</v>
      </c>
      <c r="C2" s="198"/>
      <c r="D2" s="198"/>
      <c r="E2" s="199">
        <v>337167</v>
      </c>
      <c r="G2" s="193"/>
      <c r="H2" s="193"/>
      <c r="I2" s="193"/>
      <c r="J2" s="193"/>
      <c r="K2" s="193"/>
      <c r="L2" s="193"/>
      <c r="O2" s="193"/>
      <c r="P2" s="308" t="s">
        <v>3</v>
      </c>
      <c r="Q2" s="392"/>
      <c r="R2" s="392"/>
      <c r="S2" s="393">
        <v>1878333</v>
      </c>
      <c r="T2" s="394" t="s">
        <v>4</v>
      </c>
      <c r="U2" s="395">
        <v>15561495</v>
      </c>
      <c r="W2" s="395">
        <v>14000000</v>
      </c>
    </row>
    <row r="3" ht="63" customHeight="1" spans="1:21">
      <c r="A3" s="174" t="s">
        <v>5</v>
      </c>
      <c r="B3" s="200" t="s">
        <v>6</v>
      </c>
      <c r="C3" s="201" t="s">
        <v>7</v>
      </c>
      <c r="D3" s="201" t="s">
        <v>8</v>
      </c>
      <c r="E3" s="201" t="s">
        <v>9</v>
      </c>
      <c r="F3" s="202" t="s">
        <v>10</v>
      </c>
      <c r="G3" s="201" t="s">
        <v>11</v>
      </c>
      <c r="H3" s="203" t="s">
        <v>12</v>
      </c>
      <c r="I3" s="201" t="s">
        <v>13</v>
      </c>
      <c r="J3" s="309" t="s">
        <v>14</v>
      </c>
      <c r="K3" s="201" t="s">
        <v>15</v>
      </c>
      <c r="L3" s="202" t="s">
        <v>16</v>
      </c>
      <c r="M3" s="202" t="s">
        <v>17</v>
      </c>
      <c r="N3" s="202" t="s">
        <v>18</v>
      </c>
      <c r="O3" s="202" t="s">
        <v>19</v>
      </c>
      <c r="P3" s="310" t="s">
        <v>20</v>
      </c>
      <c r="Q3" s="310"/>
      <c r="R3" s="310"/>
      <c r="S3" s="396" t="s">
        <v>21</v>
      </c>
      <c r="T3" s="397" t="s">
        <v>22</v>
      </c>
      <c r="U3" s="398" t="s">
        <v>23</v>
      </c>
    </row>
    <row r="4" ht="74.45" customHeight="1" spans="1:25">
      <c r="A4" s="174"/>
      <c r="B4" s="204"/>
      <c r="C4" s="205"/>
      <c r="D4" s="205"/>
      <c r="E4" s="205"/>
      <c r="F4" s="206"/>
      <c r="G4" s="205"/>
      <c r="H4" s="207"/>
      <c r="I4" s="205"/>
      <c r="J4" s="311"/>
      <c r="K4" s="205"/>
      <c r="L4" s="206"/>
      <c r="M4" s="206"/>
      <c r="N4" s="206"/>
      <c r="O4" s="206"/>
      <c r="P4" s="312" t="s">
        <v>24</v>
      </c>
      <c r="Q4" s="312" t="s">
        <v>25</v>
      </c>
      <c r="R4" s="312" t="s">
        <v>26</v>
      </c>
      <c r="S4" s="399"/>
      <c r="T4" s="400"/>
      <c r="U4" s="401"/>
      <c r="V4" s="402" t="s">
        <v>27</v>
      </c>
      <c r="W4" s="402"/>
      <c r="X4" s="402"/>
      <c r="Y4" s="469"/>
    </row>
    <row r="5" ht="17.25" customHeight="1" spans="2:25">
      <c r="B5" s="208" t="s">
        <v>28</v>
      </c>
      <c r="C5" s="209" t="s">
        <v>29</v>
      </c>
      <c r="D5" s="210" t="s">
        <v>28</v>
      </c>
      <c r="E5" s="210" t="s">
        <v>30</v>
      </c>
      <c r="F5" s="210" t="s">
        <v>31</v>
      </c>
      <c r="G5" s="210" t="s">
        <v>32</v>
      </c>
      <c r="H5" s="211">
        <v>44958</v>
      </c>
      <c r="I5" s="210">
        <f>8189</f>
        <v>8189</v>
      </c>
      <c r="J5" s="313">
        <f>I6/$E$2</f>
        <v>0.024616881248758</v>
      </c>
      <c r="K5" s="314">
        <v>48401</v>
      </c>
      <c r="L5" s="315">
        <f>K5/S2</f>
        <v>0.0257680613607917</v>
      </c>
      <c r="M5" s="314">
        <v>508638</v>
      </c>
      <c r="N5" s="314">
        <v>365357</v>
      </c>
      <c r="O5" s="314">
        <f>M5-N5</f>
        <v>143281</v>
      </c>
      <c r="P5" s="314">
        <v>55789</v>
      </c>
      <c r="Q5" s="314">
        <v>9106</v>
      </c>
      <c r="R5" s="314">
        <v>19447</v>
      </c>
      <c r="S5" s="314">
        <v>58938.97</v>
      </c>
      <c r="T5" s="403">
        <f>O5/M5</f>
        <v>0.281695429755543</v>
      </c>
      <c r="U5" s="404">
        <f>(T5-T6)/T5</f>
        <v>0.425973125338379</v>
      </c>
      <c r="V5" s="405" t="s">
        <v>33</v>
      </c>
      <c r="W5" s="406">
        <f>T6</f>
        <v>0.161700747149037</v>
      </c>
      <c r="X5" s="407"/>
      <c r="Y5" s="470"/>
    </row>
    <row r="6" ht="20.1" customHeight="1" spans="2:25">
      <c r="B6" s="212"/>
      <c r="C6" s="213"/>
      <c r="D6" s="214"/>
      <c r="E6" s="214"/>
      <c r="F6" s="214"/>
      <c r="G6" s="214" t="s">
        <v>34</v>
      </c>
      <c r="H6" s="215">
        <v>45026</v>
      </c>
      <c r="I6" s="214">
        <v>8300</v>
      </c>
      <c r="J6" s="316"/>
      <c r="K6" s="317"/>
      <c r="L6" s="318"/>
      <c r="M6" s="317">
        <v>508600</v>
      </c>
      <c r="N6" s="317">
        <v>426359</v>
      </c>
      <c r="O6" s="317">
        <f t="shared" ref="O6:O41" si="0">M6-N6</f>
        <v>82241</v>
      </c>
      <c r="P6" s="317">
        <v>35920</v>
      </c>
      <c r="Q6" s="317">
        <v>4614</v>
      </c>
      <c r="R6" s="317">
        <v>7009</v>
      </c>
      <c r="S6" s="317">
        <f>O6-(P6+Q6+R6)</f>
        <v>34698</v>
      </c>
      <c r="T6" s="408">
        <f t="shared" ref="T6:T38" si="1">O6/M6</f>
        <v>0.161700747149037</v>
      </c>
      <c r="U6" s="409"/>
      <c r="V6" s="405"/>
      <c r="W6" s="406">
        <f>T8</f>
        <v>0.176533971864711</v>
      </c>
      <c r="Y6" s="471"/>
    </row>
    <row r="7" spans="2:25">
      <c r="B7" s="212"/>
      <c r="C7" s="213"/>
      <c r="D7" s="216" t="s">
        <v>35</v>
      </c>
      <c r="E7" s="217" t="s">
        <v>36</v>
      </c>
      <c r="F7" s="217" t="s">
        <v>31</v>
      </c>
      <c r="G7" s="217" t="s">
        <v>32</v>
      </c>
      <c r="H7" s="218">
        <v>44990</v>
      </c>
      <c r="I7" s="282">
        <f>787</f>
        <v>787</v>
      </c>
      <c r="J7" s="319">
        <f>I8/$E$2</f>
        <v>0.00236381377774219</v>
      </c>
      <c r="K7" s="320">
        <v>4009</v>
      </c>
      <c r="L7" s="321">
        <f>K7/S2</f>
        <v>0.00213433933173724</v>
      </c>
      <c r="M7" s="320">
        <v>33502</v>
      </c>
      <c r="N7" s="320">
        <v>23950</v>
      </c>
      <c r="O7" s="320">
        <f t="shared" si="0"/>
        <v>9552</v>
      </c>
      <c r="P7" s="320">
        <v>3109</v>
      </c>
      <c r="Q7" s="320">
        <v>900</v>
      </c>
      <c r="R7" s="320">
        <v>1594</v>
      </c>
      <c r="S7" s="320">
        <v>3948.91</v>
      </c>
      <c r="T7" s="410">
        <f t="shared" si="1"/>
        <v>0.285117306429467</v>
      </c>
      <c r="U7" s="411">
        <f t="shared" ref="U7" si="2">(T7-T8)/T7</f>
        <v>0.380837403118556</v>
      </c>
      <c r="V7" s="405"/>
      <c r="W7" s="406">
        <f>T10</f>
        <v>0.170074906367041</v>
      </c>
      <c r="Y7" s="471"/>
    </row>
    <row r="8" spans="2:25">
      <c r="B8" s="212"/>
      <c r="C8" s="213"/>
      <c r="D8" s="216"/>
      <c r="E8" s="217"/>
      <c r="F8" s="217"/>
      <c r="G8" s="217" t="s">
        <v>34</v>
      </c>
      <c r="H8" s="218">
        <v>45021</v>
      </c>
      <c r="I8" s="282">
        <v>797</v>
      </c>
      <c r="J8" s="322"/>
      <c r="K8" s="320"/>
      <c r="L8" s="321"/>
      <c r="M8" s="320">
        <v>33410</v>
      </c>
      <c r="N8" s="320">
        <v>27512</v>
      </c>
      <c r="O8" s="320">
        <f t="shared" si="0"/>
        <v>5898</v>
      </c>
      <c r="P8" s="320">
        <v>2017</v>
      </c>
      <c r="Q8" s="320">
        <v>400</v>
      </c>
      <c r="R8" s="320">
        <v>1015</v>
      </c>
      <c r="S8" s="320">
        <v>2466</v>
      </c>
      <c r="T8" s="408">
        <f t="shared" si="1"/>
        <v>0.176533971864711</v>
      </c>
      <c r="U8" s="411"/>
      <c r="V8" s="405"/>
      <c r="W8" s="406">
        <f>T12</f>
        <v>0.20063122923588</v>
      </c>
      <c r="Y8" s="471"/>
    </row>
    <row r="9" spans="2:25">
      <c r="B9" s="212"/>
      <c r="C9" s="213"/>
      <c r="D9" s="219" t="s">
        <v>37</v>
      </c>
      <c r="E9" s="214" t="s">
        <v>38</v>
      </c>
      <c r="F9" s="214" t="s">
        <v>31</v>
      </c>
      <c r="G9" s="214" t="s">
        <v>32</v>
      </c>
      <c r="H9" s="215">
        <v>44967</v>
      </c>
      <c r="I9" s="246">
        <v>1199</v>
      </c>
      <c r="J9" s="323">
        <f t="shared" ref="J9" si="3">I10/$E$2</f>
        <v>0.00360355550810133</v>
      </c>
      <c r="K9" s="317">
        <v>10036</v>
      </c>
      <c r="L9" s="318">
        <f>K9/S2</f>
        <v>0.00534303555333373</v>
      </c>
      <c r="M9" s="317">
        <v>106888</v>
      </c>
      <c r="N9" s="317">
        <v>75620</v>
      </c>
      <c r="O9" s="317">
        <f t="shared" si="0"/>
        <v>31268</v>
      </c>
      <c r="P9" s="317">
        <v>7949</v>
      </c>
      <c r="Q9" s="317">
        <v>1451</v>
      </c>
      <c r="R9" s="317">
        <v>7568</v>
      </c>
      <c r="S9" s="317">
        <v>14299.55</v>
      </c>
      <c r="T9" s="412">
        <f t="shared" si="1"/>
        <v>0.292530499214131</v>
      </c>
      <c r="U9" s="409">
        <f t="shared" ref="U9" si="4">(T9-T10)/T9</f>
        <v>0.418607950883961</v>
      </c>
      <c r="V9" s="405"/>
      <c r="W9" s="406">
        <f>T14</f>
        <v>0.182655971479501</v>
      </c>
      <c r="Y9" s="471"/>
    </row>
    <row r="10" spans="2:25">
      <c r="B10" s="212"/>
      <c r="C10" s="213"/>
      <c r="D10" s="219"/>
      <c r="E10" s="214"/>
      <c r="F10" s="214"/>
      <c r="G10" s="214" t="s">
        <v>34</v>
      </c>
      <c r="H10" s="215">
        <v>44995</v>
      </c>
      <c r="I10" s="246">
        <v>1215</v>
      </c>
      <c r="J10" s="316"/>
      <c r="K10" s="317"/>
      <c r="L10" s="318"/>
      <c r="M10" s="317">
        <v>106800</v>
      </c>
      <c r="N10" s="317">
        <v>88636</v>
      </c>
      <c r="O10" s="317">
        <f t="shared" si="0"/>
        <v>18164</v>
      </c>
      <c r="P10" s="317">
        <v>6800</v>
      </c>
      <c r="Q10" s="317">
        <v>500</v>
      </c>
      <c r="R10" s="317">
        <v>3780</v>
      </c>
      <c r="S10" s="317">
        <v>7084</v>
      </c>
      <c r="T10" s="408">
        <f t="shared" si="1"/>
        <v>0.170074906367041</v>
      </c>
      <c r="U10" s="409"/>
      <c r="V10" s="405"/>
      <c r="W10" s="406">
        <f>T16</f>
        <v>0.177941176470588</v>
      </c>
      <c r="Y10" s="471"/>
    </row>
    <row r="11" ht="15.15" spans="2:25">
      <c r="B11" s="212"/>
      <c r="C11" s="213"/>
      <c r="D11" s="216" t="s">
        <v>39</v>
      </c>
      <c r="E11" s="217" t="s">
        <v>40</v>
      </c>
      <c r="F11" s="217" t="s">
        <v>31</v>
      </c>
      <c r="G11" s="217" t="s">
        <v>32</v>
      </c>
      <c r="H11" s="218">
        <v>44958</v>
      </c>
      <c r="I11" s="282">
        <f>2022</f>
        <v>2022</v>
      </c>
      <c r="J11" s="319">
        <f t="shared" ref="J11" si="5">I12/$E$2</f>
        <v>0.00607710719020545</v>
      </c>
      <c r="K11" s="320">
        <v>4589</v>
      </c>
      <c r="L11" s="321">
        <f>K11/S2</f>
        <v>0.00244312376985338</v>
      </c>
      <c r="M11" s="320">
        <v>30161</v>
      </c>
      <c r="N11" s="320">
        <v>19957</v>
      </c>
      <c r="O11" s="320">
        <f t="shared" si="0"/>
        <v>10204</v>
      </c>
      <c r="P11" s="320">
        <v>2957</v>
      </c>
      <c r="Q11" s="320">
        <v>200</v>
      </c>
      <c r="R11" s="320">
        <v>883</v>
      </c>
      <c r="S11" s="320">
        <v>6163.78</v>
      </c>
      <c r="T11" s="410">
        <f t="shared" si="1"/>
        <v>0.338317695036637</v>
      </c>
      <c r="U11" s="411">
        <f t="shared" ref="U11" si="6">(T11-T12)/T11</f>
        <v>0.406973882302686</v>
      </c>
      <c r="V11" s="413"/>
      <c r="W11" s="414">
        <f>AVERAGE(W5:W10)</f>
        <v>0.178256333761126</v>
      </c>
      <c r="Y11" s="471"/>
    </row>
    <row r="12" ht="15.9" spans="2:25">
      <c r="B12" s="212"/>
      <c r="C12" s="213"/>
      <c r="D12" s="216"/>
      <c r="E12" s="217"/>
      <c r="F12" s="217"/>
      <c r="G12" s="217" t="s">
        <v>34</v>
      </c>
      <c r="H12" s="218">
        <v>45014</v>
      </c>
      <c r="I12" s="282">
        <v>2049</v>
      </c>
      <c r="J12" s="322"/>
      <c r="K12" s="320"/>
      <c r="L12" s="321"/>
      <c r="M12" s="320">
        <v>30100</v>
      </c>
      <c r="N12" s="320">
        <v>24061</v>
      </c>
      <c r="O12" s="320">
        <f t="shared" si="0"/>
        <v>6039</v>
      </c>
      <c r="P12" s="320">
        <v>2460</v>
      </c>
      <c r="Q12" s="320">
        <v>114</v>
      </c>
      <c r="R12" s="320">
        <v>400</v>
      </c>
      <c r="S12" s="320">
        <v>3065</v>
      </c>
      <c r="T12" s="408">
        <f t="shared" si="1"/>
        <v>0.20063122923588</v>
      </c>
      <c r="U12" s="411"/>
      <c r="V12" s="194"/>
      <c r="Y12" s="471"/>
    </row>
    <row r="13" ht="15.15" spans="2:25">
      <c r="B13" s="212"/>
      <c r="C13" s="213"/>
      <c r="D13" s="219" t="s">
        <v>41</v>
      </c>
      <c r="E13" s="214" t="s">
        <v>42</v>
      </c>
      <c r="F13" s="214" t="s">
        <v>31</v>
      </c>
      <c r="G13" s="214" t="s">
        <v>32</v>
      </c>
      <c r="H13" s="215">
        <v>44972</v>
      </c>
      <c r="I13" s="246">
        <f>3275</f>
        <v>3275</v>
      </c>
      <c r="J13" s="323">
        <f t="shared" ref="J13" si="7">I14/$E$2</f>
        <v>0.00984378661019613</v>
      </c>
      <c r="K13" s="317">
        <v>6500</v>
      </c>
      <c r="L13" s="318">
        <f>K13/S2</f>
        <v>0.00346051525474982</v>
      </c>
      <c r="M13" s="317">
        <v>56128</v>
      </c>
      <c r="N13" s="317">
        <v>40358</v>
      </c>
      <c r="O13" s="317">
        <f t="shared" si="0"/>
        <v>15770</v>
      </c>
      <c r="P13" s="317">
        <v>2987</v>
      </c>
      <c r="Q13" s="317">
        <v>560</v>
      </c>
      <c r="R13" s="317">
        <v>1681</v>
      </c>
      <c r="S13" s="317">
        <v>10541.66</v>
      </c>
      <c r="T13" s="412">
        <f t="shared" si="1"/>
        <v>0.280964937286203</v>
      </c>
      <c r="U13" s="409">
        <f t="shared" ref="U13" si="8">(T13-T14)/T13</f>
        <v>0.349897630488179</v>
      </c>
      <c r="V13" s="415" t="s">
        <v>43</v>
      </c>
      <c r="W13" s="416">
        <f>T18</f>
        <v>0.195255474452555</v>
      </c>
      <c r="Y13" s="471"/>
    </row>
    <row r="14" spans="2:25">
      <c r="B14" s="212"/>
      <c r="C14" s="213"/>
      <c r="D14" s="219"/>
      <c r="E14" s="214"/>
      <c r="F14" s="214"/>
      <c r="G14" s="214" t="s">
        <v>34</v>
      </c>
      <c r="H14" s="215">
        <v>45000</v>
      </c>
      <c r="I14" s="246">
        <v>3319</v>
      </c>
      <c r="J14" s="316"/>
      <c r="K14" s="317"/>
      <c r="L14" s="318"/>
      <c r="M14" s="317">
        <v>56100</v>
      </c>
      <c r="N14" s="317">
        <v>45853</v>
      </c>
      <c r="O14" s="317">
        <f t="shared" si="0"/>
        <v>10247</v>
      </c>
      <c r="P14" s="317">
        <v>2735</v>
      </c>
      <c r="Q14" s="317">
        <v>531</v>
      </c>
      <c r="R14" s="317">
        <v>935</v>
      </c>
      <c r="S14" s="317">
        <v>6046</v>
      </c>
      <c r="T14" s="408">
        <f t="shared" si="1"/>
        <v>0.182655971479501</v>
      </c>
      <c r="U14" s="409"/>
      <c r="V14" s="417"/>
      <c r="W14" s="418">
        <f>T20</f>
        <v>0.216990979381443</v>
      </c>
      <c r="Y14" s="471"/>
    </row>
    <row r="15" spans="2:25">
      <c r="B15" s="212"/>
      <c r="C15" s="213"/>
      <c r="D15" s="216" t="s">
        <v>44</v>
      </c>
      <c r="E15" s="217" t="s">
        <v>45</v>
      </c>
      <c r="F15" s="217" t="s">
        <v>31</v>
      </c>
      <c r="G15" s="217" t="s">
        <v>32</v>
      </c>
      <c r="H15" s="218">
        <v>44986</v>
      </c>
      <c r="I15" s="282">
        <f>822</f>
        <v>822</v>
      </c>
      <c r="J15" s="319">
        <f t="shared" ref="J15:J35" si="9">I16/$E$2</f>
        <v>0.00246761990348996</v>
      </c>
      <c r="K15" s="320">
        <v>5650</v>
      </c>
      <c r="L15" s="321">
        <f>K15/S2</f>
        <v>0.003007986336821</v>
      </c>
      <c r="M15" s="320">
        <v>61217</v>
      </c>
      <c r="N15" s="320">
        <v>43050</v>
      </c>
      <c r="O15" s="320">
        <f t="shared" si="0"/>
        <v>18167</v>
      </c>
      <c r="P15" s="320">
        <v>4115</v>
      </c>
      <c r="Q15" s="320">
        <v>789</v>
      </c>
      <c r="R15" s="320">
        <v>5837</v>
      </c>
      <c r="S15" s="320">
        <v>7426.08</v>
      </c>
      <c r="T15" s="410">
        <f t="shared" si="1"/>
        <v>0.296763970792427</v>
      </c>
      <c r="U15" s="411">
        <f t="shared" ref="U15" si="10">(T15-T16)/T15</f>
        <v>0.400394946881709</v>
      </c>
      <c r="V15" s="417"/>
      <c r="W15" s="418">
        <f>T22</f>
        <v>0.224896527111519</v>
      </c>
      <c r="Y15" s="471"/>
    </row>
    <row r="16" ht="15.15" spans="2:25">
      <c r="B16" s="204"/>
      <c r="C16" s="205"/>
      <c r="D16" s="220"/>
      <c r="E16" s="221"/>
      <c r="F16" s="221"/>
      <c r="G16" s="221" t="s">
        <v>34</v>
      </c>
      <c r="H16" s="222">
        <v>45017</v>
      </c>
      <c r="I16" s="324">
        <v>832</v>
      </c>
      <c r="J16" s="325"/>
      <c r="K16" s="326"/>
      <c r="L16" s="327"/>
      <c r="M16" s="326">
        <v>61200</v>
      </c>
      <c r="N16" s="326">
        <v>50310</v>
      </c>
      <c r="O16" s="326">
        <f t="shared" si="0"/>
        <v>10890</v>
      </c>
      <c r="P16" s="326">
        <v>3020</v>
      </c>
      <c r="Q16" s="326">
        <v>453</v>
      </c>
      <c r="R16" s="326">
        <v>2650</v>
      </c>
      <c r="S16" s="326">
        <v>4767</v>
      </c>
      <c r="T16" s="408">
        <f t="shared" si="1"/>
        <v>0.177941176470588</v>
      </c>
      <c r="U16" s="419"/>
      <c r="V16" s="417"/>
      <c r="W16" s="418">
        <f>T24</f>
        <v>0.206043240427195</v>
      </c>
      <c r="X16" s="420"/>
      <c r="Y16" s="471"/>
    </row>
    <row r="17" ht="15" customHeight="1" spans="2:25">
      <c r="B17" s="223" t="s">
        <v>46</v>
      </c>
      <c r="C17" s="224" t="s">
        <v>47</v>
      </c>
      <c r="D17" s="225" t="s">
        <v>48</v>
      </c>
      <c r="E17" s="210" t="s">
        <v>49</v>
      </c>
      <c r="F17" s="210" t="s">
        <v>50</v>
      </c>
      <c r="G17" s="210" t="s">
        <v>32</v>
      </c>
      <c r="H17" s="211">
        <v>44836</v>
      </c>
      <c r="I17" s="328">
        <v>427</v>
      </c>
      <c r="J17" s="313">
        <f t="shared" si="9"/>
        <v>0.00133465018818568</v>
      </c>
      <c r="K17" s="314">
        <v>1658</v>
      </c>
      <c r="L17" s="313">
        <f>K17/S2</f>
        <v>0.00088269758344234</v>
      </c>
      <c r="M17" s="314">
        <v>13791.528</v>
      </c>
      <c r="N17" s="314">
        <v>9925</v>
      </c>
      <c r="O17" s="314">
        <f t="shared" si="0"/>
        <v>3866.528</v>
      </c>
      <c r="P17" s="314">
        <v>794</v>
      </c>
      <c r="Q17" s="314">
        <v>210</v>
      </c>
      <c r="R17" s="314">
        <v>147</v>
      </c>
      <c r="S17" s="314">
        <v>2715.59</v>
      </c>
      <c r="T17" s="403">
        <f t="shared" si="1"/>
        <v>0.280355302182615</v>
      </c>
      <c r="U17" s="404">
        <f>(T17-T18)/T17</f>
        <v>0.303542779706834</v>
      </c>
      <c r="V17" s="421"/>
      <c r="W17" s="414">
        <f>AVERAGE(W13:W16)</f>
        <v>0.210796555343178</v>
      </c>
      <c r="X17" s="420"/>
      <c r="Y17" s="471"/>
    </row>
    <row r="18" ht="15.9" spans="2:25">
      <c r="B18" s="226"/>
      <c r="C18" s="227"/>
      <c r="D18" s="228"/>
      <c r="E18" s="214"/>
      <c r="F18" s="214"/>
      <c r="G18" s="214" t="s">
        <v>34</v>
      </c>
      <c r="H18" s="215">
        <v>44895</v>
      </c>
      <c r="I18" s="246">
        <v>450</v>
      </c>
      <c r="J18" s="316"/>
      <c r="K18" s="317"/>
      <c r="L18" s="329"/>
      <c r="M18" s="317">
        <v>13700</v>
      </c>
      <c r="N18" s="317">
        <v>11025</v>
      </c>
      <c r="O18" s="317">
        <f t="shared" si="0"/>
        <v>2675</v>
      </c>
      <c r="P18" s="317">
        <v>700</v>
      </c>
      <c r="Q18" s="317">
        <v>164</v>
      </c>
      <c r="R18" s="317">
        <v>100</v>
      </c>
      <c r="S18" s="317">
        <v>1802.74</v>
      </c>
      <c r="T18" s="408">
        <f t="shared" si="1"/>
        <v>0.195255474452555</v>
      </c>
      <c r="U18" s="409"/>
      <c r="V18" s="422"/>
      <c r="W18" s="422"/>
      <c r="Y18" s="471"/>
    </row>
    <row r="19" ht="14.45" customHeight="1" spans="2:25">
      <c r="B19" s="229"/>
      <c r="C19" s="230"/>
      <c r="D19" s="231" t="s">
        <v>51</v>
      </c>
      <c r="E19" s="217" t="s">
        <v>52</v>
      </c>
      <c r="F19" s="217" t="s">
        <v>50</v>
      </c>
      <c r="G19" s="217" t="s">
        <v>32</v>
      </c>
      <c r="H19" s="218">
        <v>44866</v>
      </c>
      <c r="I19" s="282">
        <v>2869</v>
      </c>
      <c r="J19" s="319">
        <f t="shared" si="9"/>
        <v>0.00857142009745912</v>
      </c>
      <c r="K19" s="320">
        <v>14345</v>
      </c>
      <c r="L19" s="321">
        <f>K19/S2</f>
        <v>0.00763709097375173</v>
      </c>
      <c r="M19" s="320">
        <v>155280.24</v>
      </c>
      <c r="N19" s="320">
        <v>112360</v>
      </c>
      <c r="O19" s="320">
        <f t="shared" si="0"/>
        <v>42920.24</v>
      </c>
      <c r="P19" s="320">
        <v>20248</v>
      </c>
      <c r="Q19" s="320">
        <v>5580</v>
      </c>
      <c r="R19" s="320">
        <v>3685</v>
      </c>
      <c r="S19" s="320">
        <v>13407</v>
      </c>
      <c r="T19" s="410">
        <f t="shared" si="1"/>
        <v>0.276405033892271</v>
      </c>
      <c r="U19" s="411">
        <f>(T19-T20)/T19</f>
        <v>0.214952867081229</v>
      </c>
      <c r="V19" s="391"/>
      <c r="W19" s="391"/>
      <c r="Y19" s="472"/>
    </row>
    <row r="20" ht="15.9" spans="2:25">
      <c r="B20" s="226"/>
      <c r="C20" s="227"/>
      <c r="D20" s="232"/>
      <c r="E20" s="217"/>
      <c r="F20" s="217"/>
      <c r="G20" s="217" t="s">
        <v>34</v>
      </c>
      <c r="H20" s="218">
        <v>44926</v>
      </c>
      <c r="I20" s="282">
        <v>2890</v>
      </c>
      <c r="J20" s="322"/>
      <c r="K20" s="320"/>
      <c r="L20" s="321"/>
      <c r="M20" s="320">
        <v>155200</v>
      </c>
      <c r="N20" s="320">
        <v>121523</v>
      </c>
      <c r="O20" s="320">
        <f t="shared" si="0"/>
        <v>33677</v>
      </c>
      <c r="P20" s="320">
        <v>17307</v>
      </c>
      <c r="Q20" s="320">
        <v>2552</v>
      </c>
      <c r="R20" s="320">
        <v>1407</v>
      </c>
      <c r="S20" s="320">
        <v>12411</v>
      </c>
      <c r="T20" s="408">
        <f t="shared" si="1"/>
        <v>0.216990979381443</v>
      </c>
      <c r="U20" s="411"/>
      <c r="V20" s="391"/>
      <c r="W20" s="391"/>
      <c r="Y20" s="471"/>
    </row>
    <row r="21" ht="14.45" customHeight="1" spans="2:25">
      <c r="B21" s="229"/>
      <c r="C21" s="230"/>
      <c r="D21" s="233" t="s">
        <v>53</v>
      </c>
      <c r="E21" s="214" t="s">
        <v>54</v>
      </c>
      <c r="F21" s="214" t="s">
        <v>50</v>
      </c>
      <c r="G21" s="214" t="s">
        <v>32</v>
      </c>
      <c r="H21" s="215">
        <v>44835</v>
      </c>
      <c r="I21" s="246">
        <v>18158</v>
      </c>
      <c r="J21" s="323">
        <f t="shared" si="9"/>
        <v>0.0539346970492367</v>
      </c>
      <c r="K21" s="317">
        <v>23241</v>
      </c>
      <c r="L21" s="318">
        <f>K21/S2</f>
        <v>0.0123732053900986</v>
      </c>
      <c r="M21" s="317">
        <v>215867.88</v>
      </c>
      <c r="N21" s="317">
        <v>146152</v>
      </c>
      <c r="O21" s="317">
        <f t="shared" si="0"/>
        <v>69715.88</v>
      </c>
      <c r="P21" s="317">
        <v>17142</v>
      </c>
      <c r="Q21" s="317">
        <v>13558</v>
      </c>
      <c r="R21" s="317">
        <v>5424</v>
      </c>
      <c r="S21" s="317">
        <v>33592.32</v>
      </c>
      <c r="T21" s="412">
        <f t="shared" si="1"/>
        <v>0.322956245273729</v>
      </c>
      <c r="U21" s="409">
        <f t="shared" ref="U21" si="11">(T21-T22)/T21</f>
        <v>0.303631589719213</v>
      </c>
      <c r="V21" s="391"/>
      <c r="W21" s="391"/>
      <c r="Y21" s="471"/>
    </row>
    <row r="22" ht="15.9" spans="2:25">
      <c r="B22" s="226"/>
      <c r="C22" s="227"/>
      <c r="D22" s="234"/>
      <c r="E22" s="214"/>
      <c r="F22" s="214"/>
      <c r="G22" s="214" t="s">
        <v>34</v>
      </c>
      <c r="H22" s="215">
        <v>44926</v>
      </c>
      <c r="I22" s="246">
        <v>18185</v>
      </c>
      <c r="J22" s="316"/>
      <c r="K22" s="317"/>
      <c r="L22" s="318"/>
      <c r="M22" s="317">
        <v>215757</v>
      </c>
      <c r="N22" s="317">
        <v>167234</v>
      </c>
      <c r="O22" s="317">
        <f t="shared" si="0"/>
        <v>48523</v>
      </c>
      <c r="P22" s="317">
        <v>13210</v>
      </c>
      <c r="Q22" s="317">
        <v>7409</v>
      </c>
      <c r="R22" s="317">
        <v>2500</v>
      </c>
      <c r="S22" s="317">
        <v>25404</v>
      </c>
      <c r="T22" s="408">
        <f t="shared" si="1"/>
        <v>0.224896527111519</v>
      </c>
      <c r="U22" s="409"/>
      <c r="V22" s="391"/>
      <c r="W22" s="391"/>
      <c r="Y22" s="471"/>
    </row>
    <row r="23" ht="14.45" customHeight="1" spans="2:25">
      <c r="B23" s="229"/>
      <c r="C23" s="230"/>
      <c r="D23" s="235" t="s">
        <v>55</v>
      </c>
      <c r="E23" s="217" t="s">
        <v>56</v>
      </c>
      <c r="F23" s="217" t="s">
        <v>50</v>
      </c>
      <c r="G23" s="217" t="s">
        <v>32</v>
      </c>
      <c r="H23" s="218">
        <v>44835</v>
      </c>
      <c r="I23" s="282">
        <v>1114</v>
      </c>
      <c r="J23" s="321">
        <f t="shared" si="9"/>
        <v>0.00338111381007038</v>
      </c>
      <c r="K23" s="320">
        <v>2241</v>
      </c>
      <c r="L23" s="319">
        <f>K23/S2</f>
        <v>0.00119307918244529</v>
      </c>
      <c r="M23" s="320">
        <v>19255.464</v>
      </c>
      <c r="N23" s="320">
        <v>13236</v>
      </c>
      <c r="O23" s="320">
        <f t="shared" si="0"/>
        <v>6019.464</v>
      </c>
      <c r="P23" s="320">
        <v>1459</v>
      </c>
      <c r="Q23" s="320">
        <v>575</v>
      </c>
      <c r="R23" s="320">
        <v>528</v>
      </c>
      <c r="S23" s="320">
        <v>3457.21</v>
      </c>
      <c r="T23" s="410">
        <f t="shared" si="1"/>
        <v>0.312610695852357</v>
      </c>
      <c r="U23" s="411">
        <f>(T23-T24)/T23</f>
        <v>0.340895103203676</v>
      </c>
      <c r="V23" s="391"/>
      <c r="W23" s="391"/>
      <c r="Y23" s="471"/>
    </row>
    <row r="24" ht="19.5" customHeight="1" spans="2:25">
      <c r="B24" s="226"/>
      <c r="C24" s="227"/>
      <c r="D24" s="236"/>
      <c r="E24" s="221"/>
      <c r="F24" s="221"/>
      <c r="G24" s="221" t="s">
        <v>34</v>
      </c>
      <c r="H24" s="222">
        <v>44895</v>
      </c>
      <c r="I24" s="324">
        <v>1140</v>
      </c>
      <c r="J24" s="330"/>
      <c r="K24" s="326"/>
      <c r="L24" s="325"/>
      <c r="M24" s="326">
        <v>19195</v>
      </c>
      <c r="N24" s="326">
        <v>15240</v>
      </c>
      <c r="O24" s="331">
        <f t="shared" si="0"/>
        <v>3955</v>
      </c>
      <c r="P24" s="326">
        <v>1450</v>
      </c>
      <c r="Q24" s="326">
        <v>420</v>
      </c>
      <c r="R24" s="326">
        <v>386</v>
      </c>
      <c r="S24" s="326">
        <v>1699</v>
      </c>
      <c r="T24" s="408">
        <f t="shared" si="1"/>
        <v>0.206043240427195</v>
      </c>
      <c r="U24" s="423"/>
      <c r="V24" s="391"/>
      <c r="W24" s="391"/>
      <c r="Y24" s="471"/>
    </row>
    <row r="25" ht="18" customHeight="1" spans="2:25">
      <c r="B25" s="237" t="s">
        <v>57</v>
      </c>
      <c r="C25" s="238" t="s">
        <v>58</v>
      </c>
      <c r="D25" s="239" t="s">
        <v>59</v>
      </c>
      <c r="E25" s="240" t="s">
        <v>60</v>
      </c>
      <c r="F25" s="241" t="s">
        <v>61</v>
      </c>
      <c r="G25" s="242" t="s">
        <v>62</v>
      </c>
      <c r="H25" s="243">
        <v>45448</v>
      </c>
      <c r="I25" s="241">
        <v>10870</v>
      </c>
      <c r="J25" s="332">
        <f t="shared" si="9"/>
        <v>0.0324468290194473</v>
      </c>
      <c r="K25" s="333">
        <v>31384</v>
      </c>
      <c r="L25" s="319">
        <f>K25/S2</f>
        <v>0.0167084324238567</v>
      </c>
      <c r="M25" s="241">
        <v>282558</v>
      </c>
      <c r="N25" s="241">
        <v>201536</v>
      </c>
      <c r="O25" s="334">
        <f t="shared" si="0"/>
        <v>81022</v>
      </c>
      <c r="P25" s="335">
        <v>31900</v>
      </c>
      <c r="Q25" s="335">
        <v>4606</v>
      </c>
      <c r="R25" s="335">
        <v>8009</v>
      </c>
      <c r="S25" s="424">
        <f>(O25-SUM(P25:R25))</f>
        <v>36507</v>
      </c>
      <c r="T25" s="425">
        <f t="shared" si="1"/>
        <v>0.286744668351277</v>
      </c>
      <c r="U25" s="426">
        <f>(T25-T26)/T25</f>
        <v>0.270892478920495</v>
      </c>
      <c r="V25" s="391"/>
      <c r="W25" s="391"/>
      <c r="Y25" s="471"/>
    </row>
    <row r="26" ht="18" customHeight="1" spans="2:25">
      <c r="B26" s="237"/>
      <c r="C26" s="244"/>
      <c r="D26" s="245"/>
      <c r="E26" s="219"/>
      <c r="F26" s="246"/>
      <c r="G26" s="214" t="s">
        <v>63</v>
      </c>
      <c r="H26" s="215">
        <v>45478</v>
      </c>
      <c r="I26" s="282">
        <v>10940</v>
      </c>
      <c r="J26" s="336"/>
      <c r="K26" s="241"/>
      <c r="L26" s="325"/>
      <c r="M26" s="282">
        <v>279211</v>
      </c>
      <c r="N26" s="282">
        <v>220837</v>
      </c>
      <c r="O26" s="320">
        <f t="shared" si="0"/>
        <v>58374</v>
      </c>
      <c r="P26" s="337">
        <v>28800</v>
      </c>
      <c r="Q26" s="337">
        <v>3600</v>
      </c>
      <c r="R26" s="337">
        <v>3634</v>
      </c>
      <c r="S26" s="424">
        <f t="shared" ref="S26:S36" si="12">(O26-SUM(P26:R26))</f>
        <v>22340</v>
      </c>
      <c r="T26" s="408">
        <f t="shared" si="1"/>
        <v>0.209067694324364</v>
      </c>
      <c r="U26" s="427"/>
      <c r="V26" s="391"/>
      <c r="W26" s="391"/>
      <c r="X26" s="428"/>
      <c r="Y26" s="473"/>
    </row>
    <row r="27" ht="18" customHeight="1" spans="2:25">
      <c r="B27" s="237"/>
      <c r="C27" s="244"/>
      <c r="D27" s="216" t="s">
        <v>64</v>
      </c>
      <c r="E27" s="216" t="s">
        <v>65</v>
      </c>
      <c r="F27" s="247" t="s">
        <v>61</v>
      </c>
      <c r="G27" s="217" t="s">
        <v>62</v>
      </c>
      <c r="H27" s="218">
        <v>45444</v>
      </c>
      <c r="I27" s="282">
        <v>4254</v>
      </c>
      <c r="J27" s="321">
        <f t="shared" si="9"/>
        <v>0.0126762108984568</v>
      </c>
      <c r="K27" s="247">
        <v>15450</v>
      </c>
      <c r="L27" s="319">
        <f>K27/S2</f>
        <v>0.00822537856705919</v>
      </c>
      <c r="M27" s="282">
        <v>148335</v>
      </c>
      <c r="N27" s="282">
        <v>102619</v>
      </c>
      <c r="O27" s="320">
        <f t="shared" si="0"/>
        <v>45716</v>
      </c>
      <c r="P27" s="338">
        <v>15200</v>
      </c>
      <c r="Q27" s="338">
        <v>5501</v>
      </c>
      <c r="R27" s="338">
        <v>4642</v>
      </c>
      <c r="S27" s="424">
        <f t="shared" si="12"/>
        <v>20373</v>
      </c>
      <c r="T27" s="410">
        <f t="shared" si="1"/>
        <v>0.308194289951798</v>
      </c>
      <c r="U27" s="411">
        <f>(T27-T28)/T27</f>
        <v>0.331660996597641</v>
      </c>
      <c r="V27" s="429" t="s">
        <v>66</v>
      </c>
      <c r="W27" s="430">
        <f>T26</f>
        <v>0.209067694324364</v>
      </c>
      <c r="X27" s="429" t="s">
        <v>67</v>
      </c>
      <c r="Y27" s="416">
        <f>W11</f>
        <v>0.178256333761126</v>
      </c>
    </row>
    <row r="28" ht="18" customHeight="1" spans="2:25">
      <c r="B28" s="237"/>
      <c r="C28" s="244"/>
      <c r="D28" s="216"/>
      <c r="E28" s="216"/>
      <c r="F28" s="248"/>
      <c r="G28" s="217" t="s">
        <v>63</v>
      </c>
      <c r="H28" s="218">
        <v>45474</v>
      </c>
      <c r="I28" s="282">
        <v>4274</v>
      </c>
      <c r="J28" s="321"/>
      <c r="K28" s="248"/>
      <c r="L28" s="325"/>
      <c r="M28" s="282">
        <v>145661</v>
      </c>
      <c r="N28" s="282">
        <v>115658</v>
      </c>
      <c r="O28" s="320">
        <f t="shared" si="0"/>
        <v>30003</v>
      </c>
      <c r="P28" s="338">
        <v>12173</v>
      </c>
      <c r="Q28" s="338">
        <v>4000</v>
      </c>
      <c r="R28" s="338">
        <v>2000</v>
      </c>
      <c r="S28" s="424">
        <f t="shared" si="12"/>
        <v>11830</v>
      </c>
      <c r="T28" s="408">
        <f t="shared" si="1"/>
        <v>0.205978264600682</v>
      </c>
      <c r="U28" s="411"/>
      <c r="V28" s="431"/>
      <c r="W28" s="432">
        <f>T28</f>
        <v>0.205978264600682</v>
      </c>
      <c r="X28" s="431"/>
      <c r="Y28" s="418">
        <f>W17</f>
        <v>0.210796555343178</v>
      </c>
    </row>
    <row r="29" ht="18" customHeight="1" spans="2:25">
      <c r="B29" s="237"/>
      <c r="C29" s="244"/>
      <c r="D29" s="219" t="s">
        <v>68</v>
      </c>
      <c r="E29" s="219" t="s">
        <v>69</v>
      </c>
      <c r="F29" s="249" t="s">
        <v>61</v>
      </c>
      <c r="G29" s="214" t="s">
        <v>62</v>
      </c>
      <c r="H29" s="215">
        <v>45474</v>
      </c>
      <c r="I29" s="246">
        <v>4006</v>
      </c>
      <c r="J29" s="336">
        <f t="shared" si="9"/>
        <v>0.0121186237087259</v>
      </c>
      <c r="K29" s="249">
        <v>9872</v>
      </c>
      <c r="L29" s="319">
        <f>K29/S2</f>
        <v>0.00525572409152158</v>
      </c>
      <c r="M29" s="246">
        <v>89819</v>
      </c>
      <c r="N29" s="246">
        <v>60800</v>
      </c>
      <c r="O29" s="339">
        <f t="shared" si="0"/>
        <v>29019</v>
      </c>
      <c r="P29" s="337">
        <v>5200</v>
      </c>
      <c r="Q29" s="337">
        <v>3133</v>
      </c>
      <c r="R29" s="337">
        <v>7800</v>
      </c>
      <c r="S29" s="424">
        <f t="shared" si="12"/>
        <v>12886</v>
      </c>
      <c r="T29" s="433">
        <f t="shared" si="1"/>
        <v>0.323083089324085</v>
      </c>
      <c r="U29" s="427">
        <f>(T29-T30)/T29</f>
        <v>0.349717957435489</v>
      </c>
      <c r="V29" s="431"/>
      <c r="W29" s="432">
        <f>T30</f>
        <v>0.210095131243718</v>
      </c>
      <c r="X29" s="431"/>
      <c r="Y29" s="406">
        <f>W33</f>
        <v>0.209698027354806</v>
      </c>
    </row>
    <row r="30" ht="18" customHeight="1" spans="2:25">
      <c r="B30" s="237"/>
      <c r="C30" s="244"/>
      <c r="D30" s="219"/>
      <c r="E30" s="219"/>
      <c r="F30" s="241"/>
      <c r="G30" s="214" t="s">
        <v>63</v>
      </c>
      <c r="H30" s="215">
        <v>45532</v>
      </c>
      <c r="I30" s="246">
        <v>4086</v>
      </c>
      <c r="J30" s="336"/>
      <c r="K30" s="241"/>
      <c r="L30" s="325"/>
      <c r="M30" s="246">
        <v>85566</v>
      </c>
      <c r="N30" s="246">
        <v>67589</v>
      </c>
      <c r="O30" s="339">
        <f t="shared" si="0"/>
        <v>17977</v>
      </c>
      <c r="P30" s="337">
        <v>1200</v>
      </c>
      <c r="Q30" s="337">
        <v>2998</v>
      </c>
      <c r="R30" s="337">
        <v>1800</v>
      </c>
      <c r="S30" s="424">
        <f t="shared" si="12"/>
        <v>11979</v>
      </c>
      <c r="T30" s="408">
        <f t="shared" si="1"/>
        <v>0.210095131243718</v>
      </c>
      <c r="U30" s="427"/>
      <c r="V30" s="431"/>
      <c r="W30" s="432">
        <f>T32</f>
        <v>0.222073324399464</v>
      </c>
      <c r="X30" s="431"/>
      <c r="Y30" s="418">
        <f>W42</f>
        <v>0.164184197245555</v>
      </c>
    </row>
    <row r="31" ht="18" customHeight="1" spans="2:25">
      <c r="B31" s="237"/>
      <c r="C31" s="244"/>
      <c r="D31" s="216" t="s">
        <v>70</v>
      </c>
      <c r="E31" s="216" t="s">
        <v>71</v>
      </c>
      <c r="F31" s="247" t="s">
        <v>61</v>
      </c>
      <c r="G31" s="217" t="s">
        <v>62</v>
      </c>
      <c r="H31" s="218">
        <v>45458</v>
      </c>
      <c r="I31" s="282">
        <v>7074</v>
      </c>
      <c r="J31" s="321">
        <f t="shared" si="9"/>
        <v>0.021173483763239</v>
      </c>
      <c r="K31" s="247">
        <v>20159</v>
      </c>
      <c r="L31" s="319">
        <f>K31/S2</f>
        <v>0.0107323887723849</v>
      </c>
      <c r="M31" s="282">
        <v>151163</v>
      </c>
      <c r="N31" s="282">
        <v>107238</v>
      </c>
      <c r="O31" s="320">
        <f t="shared" si="0"/>
        <v>43925</v>
      </c>
      <c r="P31" s="338">
        <v>12160</v>
      </c>
      <c r="Q31" s="338">
        <v>4525</v>
      </c>
      <c r="R31" s="338">
        <v>4500</v>
      </c>
      <c r="S31" s="424">
        <f t="shared" si="12"/>
        <v>22740</v>
      </c>
      <c r="T31" s="410">
        <f t="shared" si="1"/>
        <v>0.290580366888723</v>
      </c>
      <c r="U31" s="434">
        <f>(T31-T32)/T31</f>
        <v>0.235759364002364</v>
      </c>
      <c r="V31" s="431"/>
      <c r="W31" s="432">
        <f>T34</f>
        <v>0.202060885349501</v>
      </c>
      <c r="X31" s="431"/>
      <c r="Y31" s="418">
        <f>W51</f>
        <v>0.200260246821374</v>
      </c>
    </row>
    <row r="32" ht="18" customHeight="1" spans="2:25">
      <c r="B32" s="237"/>
      <c r="C32" s="244"/>
      <c r="D32" s="216"/>
      <c r="E32" s="216"/>
      <c r="F32" s="248"/>
      <c r="G32" s="217" t="s">
        <v>63</v>
      </c>
      <c r="H32" s="218">
        <v>45488</v>
      </c>
      <c r="I32" s="282">
        <v>7139</v>
      </c>
      <c r="J32" s="321"/>
      <c r="K32" s="248"/>
      <c r="L32" s="325"/>
      <c r="M32" s="282">
        <v>149991</v>
      </c>
      <c r="N32" s="282">
        <v>116682</v>
      </c>
      <c r="O32" s="320">
        <f t="shared" si="0"/>
        <v>33309</v>
      </c>
      <c r="P32" s="338">
        <v>11800</v>
      </c>
      <c r="Q32" s="338">
        <v>3745</v>
      </c>
      <c r="R32" s="338">
        <v>3900</v>
      </c>
      <c r="S32" s="424">
        <f t="shared" si="12"/>
        <v>13864</v>
      </c>
      <c r="T32" s="408">
        <f t="shared" si="1"/>
        <v>0.222073324399464</v>
      </c>
      <c r="U32" s="411"/>
      <c r="V32" s="431"/>
      <c r="W32" s="432">
        <f>T36</f>
        <v>0.208912864211105</v>
      </c>
      <c r="X32" s="435"/>
      <c r="Y32" s="414">
        <f>AVERAGE(Y27:Y31)</f>
        <v>0.192639072105208</v>
      </c>
    </row>
    <row r="33" ht="18" customHeight="1" spans="2:25">
      <c r="B33" s="237"/>
      <c r="C33" s="244"/>
      <c r="D33" s="219" t="s">
        <v>72</v>
      </c>
      <c r="E33" s="219" t="s">
        <v>73</v>
      </c>
      <c r="F33" s="249" t="s">
        <v>61</v>
      </c>
      <c r="G33" s="214" t="s">
        <v>62</v>
      </c>
      <c r="H33" s="215">
        <v>45502</v>
      </c>
      <c r="I33" s="246">
        <v>6277</v>
      </c>
      <c r="J33" s="336">
        <f t="shared" si="9"/>
        <v>0.0187651816458906</v>
      </c>
      <c r="K33" s="249">
        <v>18624</v>
      </c>
      <c r="L33" s="319">
        <f>K33/S2</f>
        <v>0.00991517478530165</v>
      </c>
      <c r="M33" s="246">
        <v>166190</v>
      </c>
      <c r="N33" s="246">
        <v>115915</v>
      </c>
      <c r="O33" s="339">
        <f t="shared" si="0"/>
        <v>50275</v>
      </c>
      <c r="P33" s="337">
        <v>20800</v>
      </c>
      <c r="Q33" s="337">
        <v>3976</v>
      </c>
      <c r="R33" s="337">
        <v>6600</v>
      </c>
      <c r="S33" s="424">
        <f t="shared" si="12"/>
        <v>18899</v>
      </c>
      <c r="T33" s="433">
        <f t="shared" si="1"/>
        <v>0.302515193453276</v>
      </c>
      <c r="U33" s="436">
        <f>(T33-T34)/T33</f>
        <v>0.332063679040605</v>
      </c>
      <c r="V33" s="435"/>
      <c r="W33" s="437">
        <f>AVERAGE(W27:W32)</f>
        <v>0.209698027354806</v>
      </c>
      <c r="X33" s="407"/>
      <c r="Y33" s="470"/>
    </row>
    <row r="34" ht="18" customHeight="1" spans="2:25">
      <c r="B34" s="237"/>
      <c r="C34" s="244"/>
      <c r="D34" s="219"/>
      <c r="E34" s="219"/>
      <c r="F34" s="241"/>
      <c r="G34" s="214" t="s">
        <v>63</v>
      </c>
      <c r="H34" s="215">
        <v>45535</v>
      </c>
      <c r="I34" s="246">
        <v>6327</v>
      </c>
      <c r="J34" s="336"/>
      <c r="K34" s="241"/>
      <c r="L34" s="325"/>
      <c r="M34" s="246">
        <v>163619</v>
      </c>
      <c r="N34" s="246">
        <v>130558</v>
      </c>
      <c r="O34" s="339">
        <f t="shared" si="0"/>
        <v>33061</v>
      </c>
      <c r="P34" s="337">
        <v>15000</v>
      </c>
      <c r="Q34" s="337">
        <v>2500</v>
      </c>
      <c r="R34" s="337">
        <v>2708</v>
      </c>
      <c r="S34" s="424">
        <f t="shared" si="12"/>
        <v>12853</v>
      </c>
      <c r="T34" s="408">
        <f t="shared" si="1"/>
        <v>0.202060885349501</v>
      </c>
      <c r="U34" s="427"/>
      <c r="V34" s="391"/>
      <c r="W34" s="391"/>
      <c r="Y34" s="471"/>
    </row>
    <row r="35" ht="18" customHeight="1" spans="2:25">
      <c r="B35" s="237"/>
      <c r="C35" s="244"/>
      <c r="D35" s="250" t="s">
        <v>74</v>
      </c>
      <c r="E35" s="216" t="s">
        <v>75</v>
      </c>
      <c r="F35" s="247" t="s">
        <v>61</v>
      </c>
      <c r="G35" s="217" t="s">
        <v>62</v>
      </c>
      <c r="H35" s="218">
        <v>45469</v>
      </c>
      <c r="I35" s="282">
        <v>7661</v>
      </c>
      <c r="J35" s="321">
        <f t="shared" si="9"/>
        <v>0.0228403135538175</v>
      </c>
      <c r="K35" s="247">
        <v>18815</v>
      </c>
      <c r="L35" s="319">
        <f>K35/S2</f>
        <v>0.0100168606950951</v>
      </c>
      <c r="M35" s="340">
        <v>148122</v>
      </c>
      <c r="N35" s="282">
        <v>102419</v>
      </c>
      <c r="O35" s="320">
        <f t="shared" si="0"/>
        <v>45703</v>
      </c>
      <c r="P35" s="338">
        <v>10000</v>
      </c>
      <c r="Q35" s="338">
        <v>2071</v>
      </c>
      <c r="R35" s="338">
        <v>7000</v>
      </c>
      <c r="S35" s="424">
        <f t="shared" si="12"/>
        <v>26632</v>
      </c>
      <c r="T35" s="410">
        <f t="shared" si="1"/>
        <v>0.308549709023643</v>
      </c>
      <c r="U35" s="434">
        <f>(T35-T36)/T35</f>
        <v>0.322919911763401</v>
      </c>
      <c r="V35" s="391"/>
      <c r="W35" s="391"/>
      <c r="Y35" s="471"/>
    </row>
    <row r="36" ht="26.25" customHeight="1" spans="2:25">
      <c r="B36" s="251"/>
      <c r="C36" s="252"/>
      <c r="D36" s="220"/>
      <c r="E36" s="220"/>
      <c r="F36" s="253"/>
      <c r="G36" s="254" t="s">
        <v>63</v>
      </c>
      <c r="H36" s="255">
        <v>45501</v>
      </c>
      <c r="I36" s="324">
        <v>7701</v>
      </c>
      <c r="J36" s="330"/>
      <c r="K36" s="253"/>
      <c r="L36" s="325"/>
      <c r="M36" s="341">
        <v>145520</v>
      </c>
      <c r="N36" s="324">
        <v>115119</v>
      </c>
      <c r="O36" s="326">
        <f t="shared" si="0"/>
        <v>30401</v>
      </c>
      <c r="P36" s="342">
        <v>8000</v>
      </c>
      <c r="Q36" s="342">
        <v>1062</v>
      </c>
      <c r="R36" s="342">
        <v>4000</v>
      </c>
      <c r="S36" s="438">
        <f t="shared" si="12"/>
        <v>17339</v>
      </c>
      <c r="T36" s="408">
        <f t="shared" si="1"/>
        <v>0.208912864211105</v>
      </c>
      <c r="U36" s="419"/>
      <c r="V36" s="391"/>
      <c r="W36" s="391"/>
      <c r="Y36" s="471"/>
    </row>
    <row r="37" ht="18.75" customHeight="1" spans="2:25">
      <c r="B37" s="256" t="s">
        <v>76</v>
      </c>
      <c r="C37" s="238" t="s">
        <v>77</v>
      </c>
      <c r="D37" s="257" t="s">
        <v>78</v>
      </c>
      <c r="E37" s="210" t="s">
        <v>79</v>
      </c>
      <c r="F37" s="258" t="s">
        <v>61</v>
      </c>
      <c r="G37" s="214" t="s">
        <v>62</v>
      </c>
      <c r="H37" s="215">
        <v>45214</v>
      </c>
      <c r="I37" s="328">
        <v>2159</v>
      </c>
      <c r="J37" s="316">
        <f>I38/E2</f>
        <v>0.00643597979636204</v>
      </c>
      <c r="K37" s="314">
        <v>36670</v>
      </c>
      <c r="L37" s="343">
        <f>K37/S2</f>
        <v>0.0195226299064117</v>
      </c>
      <c r="M37" s="317">
        <v>163684</v>
      </c>
      <c r="N37" s="317">
        <v>115683</v>
      </c>
      <c r="O37" s="344">
        <f t="shared" si="0"/>
        <v>48001</v>
      </c>
      <c r="P37" s="314">
        <v>17233</v>
      </c>
      <c r="Q37" s="439">
        <v>3048</v>
      </c>
      <c r="R37" s="314">
        <v>3382</v>
      </c>
      <c r="S37" s="344">
        <v>24338</v>
      </c>
      <c r="T37" s="440">
        <f t="shared" si="1"/>
        <v>0.293254074924855</v>
      </c>
      <c r="U37" s="441">
        <f>(T37-T38)/T37</f>
        <v>0.449199773096634</v>
      </c>
      <c r="V37" s="391"/>
      <c r="W37" s="391"/>
      <c r="Y37" s="471"/>
    </row>
    <row r="38" ht="15.9" spans="2:25">
      <c r="B38" s="259"/>
      <c r="C38" s="252"/>
      <c r="D38" s="260"/>
      <c r="E38" s="214"/>
      <c r="F38" s="261"/>
      <c r="G38" s="214" t="s">
        <v>63</v>
      </c>
      <c r="H38" s="215">
        <v>45275</v>
      </c>
      <c r="I38" s="246">
        <v>2170</v>
      </c>
      <c r="J38" s="318"/>
      <c r="K38" s="317"/>
      <c r="L38" s="345"/>
      <c r="M38" s="317">
        <v>161505</v>
      </c>
      <c r="N38" s="317">
        <v>135418</v>
      </c>
      <c r="O38" s="317">
        <f t="shared" si="0"/>
        <v>26087</v>
      </c>
      <c r="P38" s="317">
        <v>14703</v>
      </c>
      <c r="Q38" s="442">
        <v>1062</v>
      </c>
      <c r="R38" s="317">
        <v>80</v>
      </c>
      <c r="S38" s="317">
        <v>10241.51</v>
      </c>
      <c r="T38" s="443">
        <f t="shared" si="1"/>
        <v>0.161524411008947</v>
      </c>
      <c r="U38" s="444"/>
      <c r="V38" s="428"/>
      <c r="W38" s="428"/>
      <c r="Y38" s="471"/>
    </row>
    <row r="39" ht="17.25" customHeight="1" spans="2:25">
      <c r="B39" s="256"/>
      <c r="C39" s="238"/>
      <c r="D39" s="262" t="s">
        <v>80</v>
      </c>
      <c r="E39" s="263" t="s">
        <v>81</v>
      </c>
      <c r="F39" s="264" t="s">
        <v>61</v>
      </c>
      <c r="G39" s="217" t="s">
        <v>62</v>
      </c>
      <c r="H39" s="218">
        <v>45200</v>
      </c>
      <c r="I39" s="248">
        <v>1396</v>
      </c>
      <c r="J39" s="321">
        <f>I40/E2</f>
        <v>0.00418190392298179</v>
      </c>
      <c r="K39" s="346">
        <v>10139</v>
      </c>
      <c r="L39" s="347">
        <f>K39/S2</f>
        <v>0.00539787141044745</v>
      </c>
      <c r="M39" s="346">
        <v>92708.85</v>
      </c>
      <c r="N39" s="346">
        <v>66100</v>
      </c>
      <c r="O39" s="346">
        <f t="shared" si="0"/>
        <v>26608.85</v>
      </c>
      <c r="P39" s="346">
        <v>8253</v>
      </c>
      <c r="Q39" s="445">
        <v>2010</v>
      </c>
      <c r="R39" s="346">
        <v>930</v>
      </c>
      <c r="S39" s="346">
        <v>15415.95</v>
      </c>
      <c r="T39" s="446">
        <f t="shared" ref="T39:T54" si="13">O39/M39</f>
        <v>0.287015209443327</v>
      </c>
      <c r="U39" s="447">
        <f t="shared" ref="U39" si="14">(T39-T40)/T39</f>
        <v>0.419880788336016</v>
      </c>
      <c r="V39" s="415" t="s">
        <v>82</v>
      </c>
      <c r="W39" s="448">
        <f>T38</f>
        <v>0.161524411008947</v>
      </c>
      <c r="Y39" s="471"/>
    </row>
    <row r="40" ht="15.9" spans="2:25">
      <c r="B40" s="259"/>
      <c r="C40" s="252"/>
      <c r="D40" s="265"/>
      <c r="E40" s="217"/>
      <c r="F40" s="266"/>
      <c r="G40" s="217" t="s">
        <v>63</v>
      </c>
      <c r="H40" s="218">
        <v>45263</v>
      </c>
      <c r="I40" s="282">
        <v>1410</v>
      </c>
      <c r="J40" s="321"/>
      <c r="K40" s="320"/>
      <c r="L40" s="348"/>
      <c r="M40" s="340">
        <v>92689</v>
      </c>
      <c r="N40" s="320">
        <v>77256</v>
      </c>
      <c r="O40" s="320">
        <f t="shared" si="0"/>
        <v>15433</v>
      </c>
      <c r="P40" s="320">
        <v>6805</v>
      </c>
      <c r="Q40" s="449">
        <v>240</v>
      </c>
      <c r="R40" s="320">
        <v>200</v>
      </c>
      <c r="S40" s="320">
        <v>8188</v>
      </c>
      <c r="T40" s="408">
        <f t="shared" si="13"/>
        <v>0.166503037037836</v>
      </c>
      <c r="U40" s="450"/>
      <c r="V40" s="417"/>
      <c r="W40" s="451">
        <f>T40</f>
        <v>0.166503037037836</v>
      </c>
      <c r="Y40" s="471"/>
    </row>
    <row r="41" ht="15.9" spans="2:25">
      <c r="B41" s="256"/>
      <c r="C41" s="238"/>
      <c r="D41" s="267" t="s">
        <v>83</v>
      </c>
      <c r="E41" s="242" t="s">
        <v>84</v>
      </c>
      <c r="F41" s="258" t="s">
        <v>61</v>
      </c>
      <c r="G41" s="214" t="s">
        <v>62</v>
      </c>
      <c r="H41" s="215">
        <v>45219</v>
      </c>
      <c r="I41" s="241">
        <v>1617</v>
      </c>
      <c r="J41" s="318">
        <f>I42/E2</f>
        <v>0.00481957012400383</v>
      </c>
      <c r="K41" s="344">
        <v>10315</v>
      </c>
      <c r="L41" s="349">
        <f>K41/S2</f>
        <v>0.00549157151580684</v>
      </c>
      <c r="M41" s="350">
        <v>163519</v>
      </c>
      <c r="N41" s="344">
        <v>112505</v>
      </c>
      <c r="O41" s="344">
        <f t="shared" si="0"/>
        <v>51014</v>
      </c>
      <c r="P41" s="344">
        <v>21668</v>
      </c>
      <c r="Q41" s="452">
        <v>3249</v>
      </c>
      <c r="R41" s="344">
        <v>7277</v>
      </c>
      <c r="S41" s="344">
        <v>18820</v>
      </c>
      <c r="T41" s="453">
        <f t="shared" si="13"/>
        <v>0.311975978326678</v>
      </c>
      <c r="U41" s="441">
        <f t="shared" ref="U41" si="15">(T41-T42)/T41</f>
        <v>0.472635218351323</v>
      </c>
      <c r="V41" s="417"/>
      <c r="W41" s="451">
        <f>T42</f>
        <v>0.164525143689881</v>
      </c>
      <c r="Y41" s="471"/>
    </row>
    <row r="42" ht="15.9" spans="2:25">
      <c r="B42" s="259"/>
      <c r="C42" s="252"/>
      <c r="D42" s="268"/>
      <c r="E42" s="269"/>
      <c r="F42" s="270"/>
      <c r="G42" s="214" t="s">
        <v>63</v>
      </c>
      <c r="H42" s="215">
        <v>45280</v>
      </c>
      <c r="I42" s="288">
        <v>1625</v>
      </c>
      <c r="J42" s="351"/>
      <c r="K42" s="352"/>
      <c r="L42" s="353"/>
      <c r="M42" s="354">
        <v>157531.97</v>
      </c>
      <c r="N42" s="352">
        <v>131614</v>
      </c>
      <c r="O42" s="352">
        <f t="shared" ref="O42:O44" si="16">M42-N42</f>
        <v>25917.97</v>
      </c>
      <c r="P42" s="352">
        <v>15200</v>
      </c>
      <c r="Q42" s="454">
        <v>300</v>
      </c>
      <c r="R42" s="352">
        <v>824</v>
      </c>
      <c r="S42" s="352">
        <v>9594</v>
      </c>
      <c r="T42" s="408">
        <f t="shared" si="13"/>
        <v>0.164525143689881</v>
      </c>
      <c r="U42" s="455"/>
      <c r="V42" s="421"/>
      <c r="W42" s="456">
        <f>AVERAGE(W39:W41)</f>
        <v>0.164184197245555</v>
      </c>
      <c r="Y42" s="471"/>
    </row>
    <row r="43" ht="18" customHeight="1" spans="2:25">
      <c r="B43" s="271" t="s">
        <v>85</v>
      </c>
      <c r="C43" s="238" t="s">
        <v>86</v>
      </c>
      <c r="D43" s="272" t="s">
        <v>87</v>
      </c>
      <c r="E43" s="272" t="s">
        <v>88</v>
      </c>
      <c r="F43" s="273" t="s">
        <v>89</v>
      </c>
      <c r="G43" s="274" t="s">
        <v>62</v>
      </c>
      <c r="H43" s="275">
        <v>44835</v>
      </c>
      <c r="I43" s="355">
        <v>5934</v>
      </c>
      <c r="J43" s="356">
        <f>I44/E2</f>
        <v>0.0178279606248536</v>
      </c>
      <c r="K43" s="357">
        <v>32518</v>
      </c>
      <c r="L43" s="358">
        <f>K43/S2</f>
        <v>0.01731215923907</v>
      </c>
      <c r="M43" s="357">
        <v>308284.9</v>
      </c>
      <c r="N43" s="357">
        <v>230225</v>
      </c>
      <c r="O43" s="357">
        <f t="shared" si="16"/>
        <v>78059.9</v>
      </c>
      <c r="P43" s="357">
        <v>30164</v>
      </c>
      <c r="Q43" s="357">
        <v>3547</v>
      </c>
      <c r="R43" s="357">
        <v>7957</v>
      </c>
      <c r="S43" s="357">
        <v>36392</v>
      </c>
      <c r="T43" s="446">
        <f t="shared" si="13"/>
        <v>0.253207017275254</v>
      </c>
      <c r="U43" s="447">
        <f>(T43-T44)/T43</f>
        <v>0.351342095671301</v>
      </c>
      <c r="V43" s="457"/>
      <c r="Y43" s="471"/>
    </row>
    <row r="44" ht="15.15" spans="2:25">
      <c r="B44" s="276"/>
      <c r="C44" s="244"/>
      <c r="D44" s="277"/>
      <c r="E44" s="277"/>
      <c r="F44" s="273"/>
      <c r="G44" s="278" t="s">
        <v>63</v>
      </c>
      <c r="H44" s="279">
        <v>44895</v>
      </c>
      <c r="I44" s="359">
        <v>6011</v>
      </c>
      <c r="J44" s="360"/>
      <c r="K44" s="361"/>
      <c r="L44" s="362"/>
      <c r="M44" s="361">
        <v>308156</v>
      </c>
      <c r="N44" s="361">
        <v>257543</v>
      </c>
      <c r="O44" s="361">
        <f t="shared" si="16"/>
        <v>50613</v>
      </c>
      <c r="P44" s="361">
        <v>30000</v>
      </c>
      <c r="Q44" s="361">
        <v>1165</v>
      </c>
      <c r="R44" s="361">
        <v>1055</v>
      </c>
      <c r="S44" s="361">
        <v>18393</v>
      </c>
      <c r="T44" s="408">
        <f t="shared" si="13"/>
        <v>0.164244733187087</v>
      </c>
      <c r="U44" s="450"/>
      <c r="Y44" s="471"/>
    </row>
    <row r="45" ht="15.15" spans="2:25">
      <c r="B45" s="276"/>
      <c r="C45" s="244"/>
      <c r="D45" s="246" t="s">
        <v>90</v>
      </c>
      <c r="E45" s="246" t="s">
        <v>91</v>
      </c>
      <c r="F45" s="214" t="s">
        <v>89</v>
      </c>
      <c r="G45" s="280" t="s">
        <v>62</v>
      </c>
      <c r="H45" s="281">
        <v>44819</v>
      </c>
      <c r="I45" s="363">
        <v>1628</v>
      </c>
      <c r="J45" s="364">
        <f>I46/E2</f>
        <v>0.00483439957053923</v>
      </c>
      <c r="K45" s="317">
        <v>8259</v>
      </c>
      <c r="L45" s="365">
        <f>K45/S2</f>
        <v>0.00439698392138135</v>
      </c>
      <c r="M45" s="317">
        <v>91380</v>
      </c>
      <c r="N45" s="317">
        <v>60936</v>
      </c>
      <c r="O45" s="317">
        <f t="shared" ref="O45:O48" si="17">M45-N45</f>
        <v>30444</v>
      </c>
      <c r="P45" s="317">
        <v>9682</v>
      </c>
      <c r="Q45" s="317">
        <v>2489</v>
      </c>
      <c r="R45" s="317">
        <v>2052</v>
      </c>
      <c r="S45" s="317">
        <v>16221</v>
      </c>
      <c r="T45" s="412">
        <f t="shared" si="13"/>
        <v>0.333158240315167</v>
      </c>
      <c r="U45" s="444">
        <f>(T45-T46)/T45</f>
        <v>0.305217462868232</v>
      </c>
      <c r="V45" s="458" t="s">
        <v>92</v>
      </c>
      <c r="W45" s="416">
        <f>T44</f>
        <v>0.164244733187087</v>
      </c>
      <c r="Y45" s="471"/>
    </row>
    <row r="46" spans="2:25">
      <c r="B46" s="276"/>
      <c r="C46" s="244"/>
      <c r="D46" s="246"/>
      <c r="E46" s="246"/>
      <c r="F46" s="214"/>
      <c r="G46" s="214" t="s">
        <v>63</v>
      </c>
      <c r="H46" s="215">
        <v>44849</v>
      </c>
      <c r="I46" s="363">
        <v>1630</v>
      </c>
      <c r="J46" s="364"/>
      <c r="K46" s="317"/>
      <c r="L46" s="366"/>
      <c r="M46" s="317">
        <v>91000</v>
      </c>
      <c r="N46" s="317">
        <v>69936</v>
      </c>
      <c r="O46" s="317">
        <f t="shared" si="17"/>
        <v>21064</v>
      </c>
      <c r="P46" s="317">
        <v>9682</v>
      </c>
      <c r="Q46" s="317">
        <v>1500</v>
      </c>
      <c r="R46" s="317">
        <v>1671</v>
      </c>
      <c r="S46" s="317">
        <v>8211</v>
      </c>
      <c r="T46" s="408">
        <f t="shared" si="13"/>
        <v>0.231472527472527</v>
      </c>
      <c r="U46" s="444"/>
      <c r="V46" s="459"/>
      <c r="W46" s="418">
        <f>T46</f>
        <v>0.231472527472527</v>
      </c>
      <c r="Y46" s="471"/>
    </row>
    <row r="47" spans="2:25">
      <c r="B47" s="276"/>
      <c r="C47" s="244"/>
      <c r="D47" s="282" t="s">
        <v>93</v>
      </c>
      <c r="E47" s="282" t="s">
        <v>94</v>
      </c>
      <c r="F47" s="217" t="s">
        <v>89</v>
      </c>
      <c r="G47" s="217" t="s">
        <v>62</v>
      </c>
      <c r="H47" s="218">
        <v>44809</v>
      </c>
      <c r="I47" s="340">
        <v>4444</v>
      </c>
      <c r="J47" s="367">
        <f>I48/E2</f>
        <v>0.0131952415271957</v>
      </c>
      <c r="K47" s="320">
        <v>3886</v>
      </c>
      <c r="L47" s="368">
        <f>K47/S2</f>
        <v>0.00206885573537813</v>
      </c>
      <c r="M47" s="320">
        <v>149010</v>
      </c>
      <c r="N47" s="320">
        <v>102960</v>
      </c>
      <c r="O47" s="320">
        <f t="shared" si="17"/>
        <v>46050</v>
      </c>
      <c r="P47" s="320">
        <v>16609</v>
      </c>
      <c r="Q47" s="320">
        <v>6529</v>
      </c>
      <c r="R47" s="320">
        <v>2010</v>
      </c>
      <c r="S47" s="320">
        <v>20902</v>
      </c>
      <c r="T47" s="410">
        <f t="shared" si="13"/>
        <v>0.309039661767667</v>
      </c>
      <c r="U47" s="450">
        <f t="shared" ref="U47" si="18">(T47-T48)/T47</f>
        <v>0.29946453473017</v>
      </c>
      <c r="V47" s="459"/>
      <c r="W47" s="418">
        <f>T48</f>
        <v>0.216493243243243</v>
      </c>
      <c r="Y47" s="471"/>
    </row>
    <row r="48" spans="2:25">
      <c r="B48" s="276"/>
      <c r="C48" s="244"/>
      <c r="D48" s="282"/>
      <c r="E48" s="282"/>
      <c r="F48" s="217"/>
      <c r="G48" s="217" t="s">
        <v>63</v>
      </c>
      <c r="H48" s="255">
        <v>44865</v>
      </c>
      <c r="I48" s="369">
        <v>4449</v>
      </c>
      <c r="J48" s="367"/>
      <c r="K48" s="320"/>
      <c r="L48" s="370"/>
      <c r="M48" s="320">
        <v>148000</v>
      </c>
      <c r="N48" s="320">
        <v>115959</v>
      </c>
      <c r="O48" s="320">
        <f t="shared" si="17"/>
        <v>32041</v>
      </c>
      <c r="P48" s="320">
        <v>15000</v>
      </c>
      <c r="Q48" s="320">
        <v>5113</v>
      </c>
      <c r="R48" s="320">
        <v>1000</v>
      </c>
      <c r="S48" s="320">
        <v>10928</v>
      </c>
      <c r="T48" s="408">
        <f t="shared" si="13"/>
        <v>0.216493243243243</v>
      </c>
      <c r="U48" s="450"/>
      <c r="V48" s="459"/>
      <c r="W48" s="418">
        <f>T50</f>
        <v>0.183715396890617</v>
      </c>
      <c r="Y48" s="471"/>
    </row>
    <row r="49" spans="2:25">
      <c r="B49" s="276"/>
      <c r="C49" s="244"/>
      <c r="D49" s="246" t="s">
        <v>95</v>
      </c>
      <c r="E49" s="246" t="s">
        <v>96</v>
      </c>
      <c r="F49" s="283" t="s">
        <v>89</v>
      </c>
      <c r="G49" s="214" t="s">
        <v>62</v>
      </c>
      <c r="H49" s="215">
        <v>44824</v>
      </c>
      <c r="I49" s="363">
        <v>1068</v>
      </c>
      <c r="J49" s="323">
        <f>I50/E2</f>
        <v>0.00332772780254295</v>
      </c>
      <c r="K49" s="317">
        <v>8923</v>
      </c>
      <c r="L49" s="365">
        <f>K49/S2</f>
        <v>0.0047504888643281</v>
      </c>
      <c r="M49" s="317">
        <v>108651</v>
      </c>
      <c r="N49" s="317">
        <v>72210</v>
      </c>
      <c r="O49" s="317">
        <f t="shared" ref="O49:O52" si="19">M49-N49</f>
        <v>36441</v>
      </c>
      <c r="P49" s="317">
        <v>14020</v>
      </c>
      <c r="Q49" s="317">
        <v>5258</v>
      </c>
      <c r="R49" s="317">
        <v>4099</v>
      </c>
      <c r="S49" s="317">
        <v>13064</v>
      </c>
      <c r="T49" s="412">
        <f t="shared" si="13"/>
        <v>0.33539498025789</v>
      </c>
      <c r="U49" s="444">
        <f t="shared" ref="U49" si="20">(T49-T50)/T49</f>
        <v>0.452241662205689</v>
      </c>
      <c r="V49" s="459"/>
      <c r="W49" s="418">
        <f>T52</f>
        <v>0.178409773683156</v>
      </c>
      <c r="Y49" s="471"/>
    </row>
    <row r="50" spans="2:25">
      <c r="B50" s="276"/>
      <c r="C50" s="244"/>
      <c r="D50" s="246"/>
      <c r="E50" s="246"/>
      <c r="F50" s="283"/>
      <c r="G50" s="214" t="s">
        <v>63</v>
      </c>
      <c r="H50" s="215">
        <v>44885</v>
      </c>
      <c r="I50" s="363">
        <v>1122</v>
      </c>
      <c r="J50" s="316"/>
      <c r="K50" s="317"/>
      <c r="L50" s="366"/>
      <c r="M50" s="317">
        <v>104651</v>
      </c>
      <c r="N50" s="317">
        <v>85425</v>
      </c>
      <c r="O50" s="317">
        <f t="shared" si="19"/>
        <v>19226</v>
      </c>
      <c r="P50" s="317">
        <v>8541</v>
      </c>
      <c r="Q50" s="317">
        <v>2189</v>
      </c>
      <c r="R50" s="317">
        <v>1840</v>
      </c>
      <c r="S50" s="317">
        <v>6656</v>
      </c>
      <c r="T50" s="408">
        <f t="shared" si="13"/>
        <v>0.183715396890617</v>
      </c>
      <c r="U50" s="444"/>
      <c r="V50" s="459"/>
      <c r="W50" s="418">
        <f>T54</f>
        <v>0.227225806451613</v>
      </c>
      <c r="Y50" s="471"/>
    </row>
    <row r="51" ht="15.15" spans="2:25">
      <c r="B51" s="276"/>
      <c r="C51" s="244"/>
      <c r="D51" s="277" t="s">
        <v>97</v>
      </c>
      <c r="E51" s="277" t="s">
        <v>98</v>
      </c>
      <c r="F51" s="284" t="s">
        <v>89</v>
      </c>
      <c r="G51" s="284" t="s">
        <v>62</v>
      </c>
      <c r="H51" s="285">
        <v>44805</v>
      </c>
      <c r="I51" s="359">
        <v>1116</v>
      </c>
      <c r="J51" s="319">
        <f>I52/E2</f>
        <v>0.00333662547046419</v>
      </c>
      <c r="K51" s="361">
        <v>8527</v>
      </c>
      <c r="L51" s="371">
        <f>K51/S2</f>
        <v>0.0045396636272695</v>
      </c>
      <c r="M51" s="361">
        <v>75015.72</v>
      </c>
      <c r="N51" s="361">
        <v>55035</v>
      </c>
      <c r="O51" s="361">
        <f t="shared" si="19"/>
        <v>19980.72</v>
      </c>
      <c r="P51" s="361">
        <v>8957</v>
      </c>
      <c r="Q51" s="361">
        <v>1766</v>
      </c>
      <c r="R51" s="361">
        <v>1836</v>
      </c>
      <c r="S51" s="361">
        <v>7422</v>
      </c>
      <c r="T51" s="410">
        <f t="shared" si="13"/>
        <v>0.266353772249337</v>
      </c>
      <c r="U51" s="450">
        <f t="shared" ref="U51" si="21">(T51-T52)/T51</f>
        <v>0.330177409628931</v>
      </c>
      <c r="V51" s="460"/>
      <c r="W51" s="414">
        <f>AVERAGE(W45:W50)</f>
        <v>0.200260246821374</v>
      </c>
      <c r="Y51" s="471"/>
    </row>
    <row r="52" ht="15.15" spans="2:25">
      <c r="B52" s="276"/>
      <c r="C52" s="244"/>
      <c r="D52" s="277"/>
      <c r="E52" s="277"/>
      <c r="F52" s="284"/>
      <c r="G52" s="284" t="s">
        <v>63</v>
      </c>
      <c r="H52" s="285">
        <v>44865</v>
      </c>
      <c r="I52" s="359">
        <v>1125</v>
      </c>
      <c r="J52" s="322"/>
      <c r="K52" s="361"/>
      <c r="L52" s="362"/>
      <c r="M52" s="361">
        <v>74895</v>
      </c>
      <c r="N52" s="361">
        <v>61533</v>
      </c>
      <c r="O52" s="361">
        <f t="shared" si="19"/>
        <v>13362</v>
      </c>
      <c r="P52" s="361">
        <v>6698</v>
      </c>
      <c r="Q52" s="361">
        <v>723</v>
      </c>
      <c r="R52" s="361">
        <v>832</v>
      </c>
      <c r="S52" s="361">
        <v>5109</v>
      </c>
      <c r="T52" s="408">
        <f t="shared" si="13"/>
        <v>0.178409773683156</v>
      </c>
      <c r="U52" s="450"/>
      <c r="V52" s="457"/>
      <c r="Y52" s="471"/>
    </row>
    <row r="53" spans="2:25">
      <c r="B53" s="276"/>
      <c r="C53" s="244"/>
      <c r="D53" s="246" t="s">
        <v>99</v>
      </c>
      <c r="E53" s="246" t="s">
        <v>100</v>
      </c>
      <c r="F53" s="286" t="s">
        <v>89</v>
      </c>
      <c r="G53" s="214" t="s">
        <v>62</v>
      </c>
      <c r="H53" s="215">
        <v>44757</v>
      </c>
      <c r="I53" s="363">
        <v>2744</v>
      </c>
      <c r="J53" s="323">
        <f>I54/E2</f>
        <v>0.00819771804476713</v>
      </c>
      <c r="K53" s="317">
        <v>11996</v>
      </c>
      <c r="L53" s="365">
        <f>K53/S2</f>
        <v>0.00638651399938137</v>
      </c>
      <c r="M53" s="317">
        <v>67214</v>
      </c>
      <c r="N53" s="317">
        <v>44470</v>
      </c>
      <c r="O53" s="317">
        <f t="shared" ref="O53:O54" si="22">M53-N53</f>
        <v>22744</v>
      </c>
      <c r="P53" s="317">
        <v>8176</v>
      </c>
      <c r="Q53" s="317">
        <v>3257</v>
      </c>
      <c r="R53" s="317">
        <v>1889</v>
      </c>
      <c r="S53" s="317">
        <v>9422</v>
      </c>
      <c r="T53" s="412">
        <f t="shared" si="13"/>
        <v>0.338381884726396</v>
      </c>
      <c r="U53" s="444">
        <f t="shared" ref="U53" si="23">(T53-T54)/T53</f>
        <v>0.328492993543848</v>
      </c>
      <c r="V53" s="194"/>
      <c r="Y53" s="471"/>
    </row>
    <row r="54" ht="15.15" spans="2:25">
      <c r="B54" s="287"/>
      <c r="C54" s="252"/>
      <c r="D54" s="288"/>
      <c r="E54" s="288"/>
      <c r="F54" s="289"/>
      <c r="G54" s="269" t="s">
        <v>63</v>
      </c>
      <c r="H54" s="290">
        <v>44819</v>
      </c>
      <c r="I54" s="354">
        <v>2764</v>
      </c>
      <c r="J54" s="372"/>
      <c r="K54" s="352"/>
      <c r="L54" s="373"/>
      <c r="M54" s="352">
        <v>62000</v>
      </c>
      <c r="N54" s="352">
        <v>47912</v>
      </c>
      <c r="O54" s="352">
        <f t="shared" si="22"/>
        <v>14088</v>
      </c>
      <c r="P54" s="352">
        <v>7000</v>
      </c>
      <c r="Q54" s="352">
        <v>964</v>
      </c>
      <c r="R54" s="352">
        <v>0</v>
      </c>
      <c r="S54" s="352">
        <f>O54-(P54+Q54+R54)</f>
        <v>6124</v>
      </c>
      <c r="T54" s="408">
        <f t="shared" si="13"/>
        <v>0.227225806451613</v>
      </c>
      <c r="U54" s="455"/>
      <c r="V54" s="461"/>
      <c r="W54" s="428"/>
      <c r="X54" s="428"/>
      <c r="Y54" s="473"/>
    </row>
    <row r="55" ht="18.95" customHeight="1" spans="1:22">
      <c r="A55" t="s">
        <v>101</v>
      </c>
      <c r="B55" s="291" t="s">
        <v>101</v>
      </c>
      <c r="C55" s="292">
        <v>5</v>
      </c>
      <c r="D55" s="292">
        <v>25</v>
      </c>
      <c r="E55" s="292">
        <v>25</v>
      </c>
      <c r="F55" s="293"/>
      <c r="G55" s="294" t="s">
        <v>34</v>
      </c>
      <c r="H55" s="295"/>
      <c r="I55" s="374">
        <v>101950</v>
      </c>
      <c r="J55" s="375">
        <f>I55/E2</f>
        <v>0.302372414856733</v>
      </c>
      <c r="K55" s="376">
        <v>366207</v>
      </c>
      <c r="L55" s="377">
        <f>K55/S2</f>
        <v>0.194963832291718</v>
      </c>
      <c r="M55" s="378">
        <f t="shared" ref="M55:S55" si="24">(SUBTOTAL(9,M5:M54))/2</f>
        <v>3388220.776</v>
      </c>
      <c r="N55" s="378">
        <f t="shared" si="24"/>
        <v>2563704</v>
      </c>
      <c r="O55" s="378">
        <f t="shared" si="24"/>
        <v>824516.776</v>
      </c>
      <c r="P55" s="378">
        <f t="shared" si="24"/>
        <v>311396</v>
      </c>
      <c r="Q55" s="378">
        <f t="shared" si="24"/>
        <v>68106</v>
      </c>
      <c r="R55" s="378">
        <f t="shared" si="24"/>
        <v>81251.5</v>
      </c>
      <c r="S55" s="378">
        <f t="shared" si="24"/>
        <v>363808.635</v>
      </c>
      <c r="T55" s="378"/>
      <c r="U55" s="462">
        <f>AVERAGE(U5:U53)</f>
        <v>0.351894944196662</v>
      </c>
      <c r="V55" s="457"/>
    </row>
    <row r="56" ht="14.45" customHeight="1" spans="2:21">
      <c r="B56" s="296"/>
      <c r="C56" s="297"/>
      <c r="D56" s="297"/>
      <c r="E56" s="297"/>
      <c r="F56" s="298"/>
      <c r="G56" s="299" t="s">
        <v>32</v>
      </c>
      <c r="H56" s="300"/>
      <c r="I56" s="379">
        <v>101110</v>
      </c>
      <c r="J56" s="380">
        <f>I56/E2</f>
        <v>0.299881067838786</v>
      </c>
      <c r="K56" s="381"/>
      <c r="L56" s="382"/>
      <c r="M56" s="383"/>
      <c r="N56" s="383"/>
      <c r="O56" s="383"/>
      <c r="P56" s="383"/>
      <c r="Q56" s="383"/>
      <c r="R56" s="383"/>
      <c r="S56" s="383"/>
      <c r="T56" s="383"/>
      <c r="U56" s="463"/>
    </row>
    <row r="57" ht="18.6" customHeight="1" spans="2:21">
      <c r="B57" s="301"/>
      <c r="C57" s="302"/>
      <c r="D57" s="302"/>
      <c r="E57" s="302"/>
      <c r="F57" s="303"/>
      <c r="G57" s="304" t="s">
        <v>102</v>
      </c>
      <c r="H57" s="305"/>
      <c r="I57" s="384">
        <f>I55-I56</f>
        <v>840</v>
      </c>
      <c r="J57" s="385">
        <f>J55-J56</f>
        <v>0.00249134701794662</v>
      </c>
      <c r="K57" s="386"/>
      <c r="L57" s="387"/>
      <c r="M57" s="388"/>
      <c r="N57" s="388"/>
      <c r="O57" s="388"/>
      <c r="P57" s="388"/>
      <c r="Q57" s="388"/>
      <c r="R57" s="388"/>
      <c r="S57" s="388"/>
      <c r="T57" s="388"/>
      <c r="U57" s="464"/>
    </row>
    <row r="58" ht="43.95" spans="12:21">
      <c r="L58" s="389" t="s">
        <v>103</v>
      </c>
      <c r="M58" s="390">
        <f>M55/W2</f>
        <v>0.242015769714286</v>
      </c>
      <c r="R58" s="465" t="s">
        <v>104</v>
      </c>
      <c r="S58" s="466">
        <f>S5+S7+S9+S11+S13+S15+S17+S17+S19+S19+S21+S23+S25+S27+S29+S31+S33+S35+S37+S39+S41+S43+S45+S47+S49+S51+S53</f>
        <v>470647.61</v>
      </c>
      <c r="T58" s="467" t="s">
        <v>105</v>
      </c>
      <c r="U58" s="468">
        <f>S58*U55*12</f>
        <v>1987422.17348691</v>
      </c>
    </row>
    <row r="60" ht="41.25" customHeight="1" spans="7:12">
      <c r="G60" s="306" t="s">
        <v>106</v>
      </c>
      <c r="H60" s="307">
        <f>M43+M45+M47+M49+M51+M53</f>
        <v>799555.62</v>
      </c>
      <c r="I60" s="307">
        <f>N43+N45+N47+N49+N51+N53</f>
        <v>565836</v>
      </c>
      <c r="J60" s="307">
        <f>H60-I60</f>
        <v>233719.62</v>
      </c>
      <c r="K60" s="306">
        <f>J60/H60</f>
        <v>0.292311896950959</v>
      </c>
      <c r="L60" s="306">
        <f>K60*100</f>
        <v>29.2311896950959</v>
      </c>
    </row>
    <row r="61" ht="45" customHeight="1" spans="7:12">
      <c r="G61" s="306"/>
      <c r="H61" s="307">
        <f>M44+M46+M48+M50+M52+M54</f>
        <v>788702</v>
      </c>
      <c r="I61" s="307">
        <f>N44+N46+N48+N50+N52+N54</f>
        <v>638308</v>
      </c>
      <c r="J61" s="307">
        <f>H61-I61</f>
        <v>150394</v>
      </c>
      <c r="K61" s="306">
        <f>J61/H61</f>
        <v>0.190685455343083</v>
      </c>
      <c r="L61" s="306">
        <f>K61*100</f>
        <v>19.0685455343083</v>
      </c>
    </row>
    <row r="62" ht="14.45" customHeight="1" spans="7:12">
      <c r="G62" s="306"/>
      <c r="H62" s="306"/>
      <c r="I62" s="306"/>
      <c r="J62" s="307"/>
      <c r="K62" s="306"/>
      <c r="L62" s="306"/>
    </row>
    <row r="63" ht="39.75" customHeight="1" spans="7:12">
      <c r="G63" s="306" t="s">
        <v>107</v>
      </c>
      <c r="H63" s="307">
        <f>M17+M19+M21+M23</f>
        <v>404195.112</v>
      </c>
      <c r="I63" s="307">
        <f>N17+N19+N21+N23</f>
        <v>281673</v>
      </c>
      <c r="J63" s="307">
        <f t="shared" ref="J62:J64" si="25">H63-I63</f>
        <v>122522.112</v>
      </c>
      <c r="K63" s="306">
        <f t="shared" ref="K62:K64" si="26">J63/H63</f>
        <v>0.30312615952664</v>
      </c>
      <c r="L63" s="306">
        <f t="shared" ref="L62:L64" si="27">K63*100</f>
        <v>30.312615952664</v>
      </c>
    </row>
    <row r="64" ht="41.25" customHeight="1" spans="7:12">
      <c r="G64" s="306"/>
      <c r="H64" s="307">
        <f>M18+M20+M22+M24</f>
        <v>403852</v>
      </c>
      <c r="I64" s="307">
        <f>N18+N20+N22+N24</f>
        <v>315022</v>
      </c>
      <c r="J64" s="307">
        <f t="shared" si="25"/>
        <v>88830</v>
      </c>
      <c r="K64" s="306">
        <f t="shared" si="26"/>
        <v>0.219956815863237</v>
      </c>
      <c r="L64" s="306">
        <f t="shared" si="27"/>
        <v>21.9956815863237</v>
      </c>
    </row>
    <row r="65" spans="9:19">
      <c r="I65" s="193"/>
      <c r="J65" s="193" t="s">
        <v>108</v>
      </c>
      <c r="K65" s="193"/>
      <c r="L65" s="193"/>
      <c r="M65" s="193" t="s">
        <v>109</v>
      </c>
      <c r="O65" s="193"/>
      <c r="S65" s="195"/>
    </row>
    <row r="66" spans="9:19">
      <c r="I66" s="193"/>
      <c r="J66" s="193" t="s">
        <v>110</v>
      </c>
      <c r="K66" s="193" t="s">
        <v>111</v>
      </c>
      <c r="L66" s="193" t="s">
        <v>112</v>
      </c>
      <c r="M66" s="193" t="s">
        <v>110</v>
      </c>
      <c r="N66" s="193" t="s">
        <v>111</v>
      </c>
      <c r="O66" s="193" t="s">
        <v>112</v>
      </c>
      <c r="P66" t="s">
        <v>113</v>
      </c>
      <c r="S66" s="195"/>
    </row>
    <row r="67" spans="9:16">
      <c r="I67" s="193" t="s">
        <v>28</v>
      </c>
      <c r="J67" s="474">
        <v>796534</v>
      </c>
      <c r="K67" s="193">
        <v>568292</v>
      </c>
      <c r="L67" s="475">
        <f>((J67-K67)/J67)*100</f>
        <v>28.6543951670613</v>
      </c>
      <c r="M67" s="193">
        <v>769210</v>
      </c>
      <c r="N67" s="193">
        <v>662731</v>
      </c>
      <c r="O67" s="476">
        <f>((M67-N67)/M67)*100</f>
        <v>13.8426437513813</v>
      </c>
      <c r="P67" s="457">
        <f>((L67-O67)/L67)*100</f>
        <v>51.6910279533883</v>
      </c>
    </row>
    <row r="68" spans="9:16">
      <c r="I68" s="193" t="s">
        <v>46</v>
      </c>
      <c r="J68" s="474">
        <v>404195</v>
      </c>
      <c r="K68" s="193">
        <v>281673</v>
      </c>
      <c r="L68" s="475">
        <f>((J68-K68)/J68)*100</f>
        <v>30.3125966427096</v>
      </c>
      <c r="M68" s="193">
        <v>403852</v>
      </c>
      <c r="N68" s="193">
        <v>315022</v>
      </c>
      <c r="O68" s="476">
        <f>((M68-N68)/M68)*100</f>
        <v>21.9956815863237</v>
      </c>
      <c r="P68" s="457">
        <f>((L68-O68)/L68)*100</f>
        <v>27.4371580713332</v>
      </c>
    </row>
    <row r="69" spans="9:16">
      <c r="I69" s="193" t="s">
        <v>114</v>
      </c>
      <c r="J69" s="474">
        <v>986187</v>
      </c>
      <c r="K69" s="193">
        <v>690527</v>
      </c>
      <c r="L69" s="475">
        <f>((J69-K69)/J69)*100</f>
        <v>29.9801153330961</v>
      </c>
      <c r="M69" s="193">
        <v>969568</v>
      </c>
      <c r="N69" s="193">
        <v>766443</v>
      </c>
      <c r="O69" s="476">
        <f>((M69-N69)/M69)*100</f>
        <v>20.9500519819136</v>
      </c>
      <c r="P69" s="457">
        <f>((L69-O69)/L69)*100</f>
        <v>30.1201754925001</v>
      </c>
    </row>
    <row r="70" spans="9:16">
      <c r="I70" s="193" t="s">
        <v>115</v>
      </c>
      <c r="J70" s="474">
        <v>419912</v>
      </c>
      <c r="K70" s="193">
        <v>294288</v>
      </c>
      <c r="L70" s="475">
        <f>((J70-K70)/J70)*100</f>
        <v>29.9167444607442</v>
      </c>
      <c r="M70" s="193">
        <v>411726</v>
      </c>
      <c r="N70" s="193">
        <v>344288</v>
      </c>
      <c r="O70" s="476">
        <f>((M70-N70)/M70)*100</f>
        <v>16.3793396579278</v>
      </c>
      <c r="P70" s="457">
        <f>((L70-O70)/L70)*100</f>
        <v>45.2502605040454</v>
      </c>
    </row>
    <row r="71" spans="9:16">
      <c r="I71" s="193" t="s">
        <v>116</v>
      </c>
      <c r="J71" s="474">
        <v>799556</v>
      </c>
      <c r="K71" s="193">
        <v>565836</v>
      </c>
      <c r="L71" s="475">
        <f>((J71-K71)/J71)*100</f>
        <v>29.2312233289476</v>
      </c>
      <c r="M71" s="193">
        <v>788702</v>
      </c>
      <c r="N71" s="193">
        <v>638308</v>
      </c>
      <c r="O71" s="476">
        <f>((M71-N71)/M71)*100</f>
        <v>19.0685455343083</v>
      </c>
      <c r="P71" s="457">
        <f>((L71-O71)/L71)*100</f>
        <v>34.7665155175878</v>
      </c>
    </row>
    <row r="72" spans="15:16">
      <c r="O72" t="s">
        <v>117</v>
      </c>
      <c r="P72">
        <f>AVERAGE(P67:P71)</f>
        <v>37.853027507771</v>
      </c>
    </row>
    <row r="74" spans="30:30">
      <c r="AD74">
        <v>3886</v>
      </c>
    </row>
    <row r="76" spans="30:30">
      <c r="AD76">
        <v>8923</v>
      </c>
    </row>
    <row r="78" spans="30:30">
      <c r="AD78">
        <v>8527</v>
      </c>
    </row>
    <row r="80" spans="30:30">
      <c r="AD80">
        <v>11996</v>
      </c>
    </row>
    <row r="81" spans="30:30">
      <c r="AD81">
        <f>SUBTOTAL(9,AD32:AD80)</f>
        <v>33332</v>
      </c>
    </row>
  </sheetData>
  <autoFilter xmlns:etc="http://www.wps.cn/officeDocument/2017/etCustomData" ref="B3:U58" etc:filterBottomFollowUsedRange="0">
    <extLst/>
  </autoFilter>
  <mergeCells count="233">
    <mergeCell ref="B1:U1"/>
    <mergeCell ref="B2:D2"/>
    <mergeCell ref="F2:O2"/>
    <mergeCell ref="P2:R2"/>
    <mergeCell ref="P3:R3"/>
    <mergeCell ref="V4:Y4"/>
    <mergeCell ref="J65:L65"/>
    <mergeCell ref="M65:O65"/>
    <mergeCell ref="A3:A4"/>
    <mergeCell ref="B3:B4"/>
    <mergeCell ref="B5:B16"/>
    <mergeCell ref="B17:B24"/>
    <mergeCell ref="B25:B36"/>
    <mergeCell ref="B37:B42"/>
    <mergeCell ref="B43:B54"/>
    <mergeCell ref="B55:B57"/>
    <mergeCell ref="C3:C4"/>
    <mergeCell ref="C5:C16"/>
    <mergeCell ref="C17:C24"/>
    <mergeCell ref="C25:C36"/>
    <mergeCell ref="C37:C42"/>
    <mergeCell ref="C43:C54"/>
    <mergeCell ref="C55:C57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7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7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43:F44"/>
    <mergeCell ref="F45:F46"/>
    <mergeCell ref="F47:F48"/>
    <mergeCell ref="F49:F50"/>
    <mergeCell ref="F51:F52"/>
    <mergeCell ref="F53:F54"/>
    <mergeCell ref="F55:F57"/>
    <mergeCell ref="G3:G4"/>
    <mergeCell ref="G60:G61"/>
    <mergeCell ref="G63:G64"/>
    <mergeCell ref="H3:H4"/>
    <mergeCell ref="H55:H57"/>
    <mergeCell ref="I3:I4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K51:K52"/>
    <mergeCell ref="K53:K54"/>
    <mergeCell ref="K55:K57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L51:L52"/>
    <mergeCell ref="L53:L54"/>
    <mergeCell ref="L55:L57"/>
    <mergeCell ref="M3:M4"/>
    <mergeCell ref="M55:M57"/>
    <mergeCell ref="N3:N4"/>
    <mergeCell ref="N55:N57"/>
    <mergeCell ref="O3:O4"/>
    <mergeCell ref="O55:O57"/>
    <mergeCell ref="P55:P57"/>
    <mergeCell ref="Q55:Q57"/>
    <mergeCell ref="R55:R57"/>
    <mergeCell ref="S3:S4"/>
    <mergeCell ref="S55:S57"/>
    <mergeCell ref="T3:T4"/>
    <mergeCell ref="T55:T57"/>
    <mergeCell ref="U3:U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7"/>
    <mergeCell ref="V5:V11"/>
    <mergeCell ref="V13:V17"/>
    <mergeCell ref="V27:V33"/>
    <mergeCell ref="V39:V42"/>
    <mergeCell ref="V45:V51"/>
    <mergeCell ref="X27:X32"/>
  </mergeCells>
  <pageMargins left="0.7" right="0.7" top="0.75" bottom="0.75" header="0.3" footer="0.3"/>
  <pageSetup paperSize="1" scale="5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9"/>
  <sheetViews>
    <sheetView workbookViewId="0">
      <selection activeCell="B1" sqref="B1:G8"/>
    </sheetView>
  </sheetViews>
  <sheetFormatPr defaultColWidth="9" defaultRowHeight="14.4"/>
  <cols>
    <col min="3" max="3" width="40.5701754385965" style="174" customWidth="1"/>
    <col min="4" max="4" width="18" style="174" customWidth="1"/>
    <col min="5" max="5" width="21.2894736842105" style="174" customWidth="1"/>
    <col min="6" max="6" width="47.859649122807" style="174" customWidth="1"/>
  </cols>
  <sheetData>
    <row r="1" ht="28.35" customHeight="1" spans="3:6">
      <c r="C1" s="175" t="s">
        <v>118</v>
      </c>
      <c r="D1" s="176" t="s">
        <v>101</v>
      </c>
      <c r="E1" s="176" t="s">
        <v>119</v>
      </c>
      <c r="F1" s="177" t="s">
        <v>120</v>
      </c>
    </row>
    <row r="2" ht="121.5" customHeight="1" spans="3:6">
      <c r="C2" s="178" t="s">
        <v>121</v>
      </c>
      <c r="D2" s="179">
        <v>0.5</v>
      </c>
      <c r="E2" s="180" t="s">
        <v>122</v>
      </c>
      <c r="F2" s="181"/>
    </row>
    <row r="3" ht="69.75" customHeight="1" spans="3:6">
      <c r="C3" s="178" t="s">
        <v>123</v>
      </c>
      <c r="D3" s="182">
        <v>0.302372414856733</v>
      </c>
      <c r="E3" s="180" t="s">
        <v>124</v>
      </c>
      <c r="F3" s="181"/>
    </row>
    <row r="4" ht="30.75" customHeight="1" spans="3:6">
      <c r="C4" s="178" t="s">
        <v>23</v>
      </c>
      <c r="D4" s="182">
        <v>0.351894944196662</v>
      </c>
      <c r="E4" s="180" t="s">
        <v>125</v>
      </c>
      <c r="F4" s="181"/>
    </row>
    <row r="5" ht="33" customHeight="1" spans="3:6">
      <c r="C5" s="178" t="s">
        <v>105</v>
      </c>
      <c r="D5" s="183">
        <v>1987422.17348691</v>
      </c>
      <c r="E5" s="180" t="s">
        <v>125</v>
      </c>
      <c r="F5" s="181"/>
    </row>
    <row r="6" ht="44.25" customHeight="1" spans="3:7">
      <c r="C6" s="184" t="s">
        <v>126</v>
      </c>
      <c r="D6" s="185">
        <v>1.63</v>
      </c>
      <c r="E6" s="180" t="s">
        <v>124</v>
      </c>
      <c r="F6" s="186"/>
      <c r="G6" s="187"/>
    </row>
    <row r="7" ht="33.75" customHeight="1" spans="3:6">
      <c r="C7" s="184" t="s">
        <v>127</v>
      </c>
      <c r="D7" s="183">
        <f>D5*D6</f>
        <v>3239498.14278366</v>
      </c>
      <c r="E7" s="180" t="s">
        <v>125</v>
      </c>
      <c r="F7" s="181"/>
    </row>
    <row r="8" ht="128.85" spans="3:6">
      <c r="C8" s="188" t="s">
        <v>128</v>
      </c>
      <c r="D8" s="189">
        <v>0.24</v>
      </c>
      <c r="E8" s="190" t="s">
        <v>129</v>
      </c>
      <c r="F8" s="191" t="s">
        <v>130</v>
      </c>
    </row>
    <row r="9" ht="15.15" spans="9:9">
      <c r="I9" s="18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:F7"/>
  <sheetViews>
    <sheetView workbookViewId="0">
      <selection activeCell="H8" sqref="C2:H8"/>
    </sheetView>
  </sheetViews>
  <sheetFormatPr defaultColWidth="9" defaultRowHeight="14.4" outlineLevelRow="6" outlineLevelCol="5"/>
  <cols>
    <col min="5" max="5" width="36.5701754385965" customWidth="1"/>
    <col min="6" max="6" width="34.859649122807" customWidth="1"/>
  </cols>
  <sheetData>
    <row r="2" ht="15.15"/>
    <row r="3" ht="26.25" customHeight="1" spans="5:6">
      <c r="E3" s="168" t="s">
        <v>131</v>
      </c>
      <c r="F3" s="169" t="s">
        <v>132</v>
      </c>
    </row>
    <row r="4" ht="63" customHeight="1" spans="5:6">
      <c r="E4" s="170" t="s">
        <v>133</v>
      </c>
      <c r="F4" s="171" t="s">
        <v>134</v>
      </c>
    </row>
    <row r="5" ht="88.5" customHeight="1" spans="5:6">
      <c r="E5" s="170" t="s">
        <v>135</v>
      </c>
      <c r="F5" s="171" t="s">
        <v>136</v>
      </c>
    </row>
    <row r="6" ht="67.5" customHeight="1" spans="5:6">
      <c r="E6" s="172" t="s">
        <v>137</v>
      </c>
      <c r="F6" s="173" t="s">
        <v>138</v>
      </c>
    </row>
    <row r="7" ht="15.15"/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C95"/>
  <sheetViews>
    <sheetView tabSelected="1" zoomScale="59" zoomScaleNormal="59" workbookViewId="0">
      <pane xSplit="5" ySplit="3" topLeftCell="F4" activePane="bottomRight" state="frozen"/>
      <selection/>
      <selection pane="topRight"/>
      <selection pane="bottomLeft"/>
      <selection pane="bottomRight" activeCell="U2" sqref="U2:U3"/>
    </sheetView>
  </sheetViews>
  <sheetFormatPr defaultColWidth="8.57017543859649" defaultRowHeight="14.4"/>
  <cols>
    <col min="1" max="1" width="6.14035087719298" style="1" customWidth="1"/>
    <col min="2" max="2" width="10.859649122807" style="1" customWidth="1"/>
    <col min="3" max="3" width="6.57017543859649" style="1" customWidth="1"/>
    <col min="4" max="4" width="11.4298245614035" style="1" customWidth="1"/>
    <col min="5" max="5" width="15.859649122807" style="1" customWidth="1"/>
    <col min="6" max="7" width="10.140350877193" style="1" customWidth="1"/>
    <col min="8" max="8" width="9.42982456140351" style="1" customWidth="1"/>
    <col min="9" max="9" width="7" style="1" customWidth="1"/>
    <col min="10" max="10" width="10.859649122807" style="1" customWidth="1"/>
    <col min="11" max="11" width="12.4298245614035" style="2" customWidth="1"/>
    <col min="12" max="12" width="12.4298245614035" style="1" customWidth="1"/>
    <col min="13" max="13" width="12.4298245614035" style="2" customWidth="1"/>
    <col min="14" max="14" width="16.140350877193" style="1" customWidth="1"/>
    <col min="15" max="15" width="14.859649122807" style="1" customWidth="1"/>
    <col min="16" max="16" width="14.5701754385965" style="1" customWidth="1"/>
    <col min="17" max="17" width="15.4298245614035" style="1" customWidth="1"/>
    <col min="18" max="18" width="15.5701754385965" style="1" customWidth="1"/>
    <col min="19" max="19" width="13.5701754385965" style="1" customWidth="1"/>
    <col min="20" max="21" width="12.5701754385965" style="1" customWidth="1"/>
    <col min="22" max="22" width="17.140350877193" style="1" customWidth="1"/>
    <col min="23" max="23" width="12.4298245614035" style="1" customWidth="1"/>
    <col min="24" max="26" width="8.57017543859649" style="1"/>
    <col min="27" max="27" width="4.42982456140351" style="1" customWidth="1"/>
    <col min="28" max="28" width="13" style="1" customWidth="1"/>
    <col min="29" max="29" width="12.5701754385965" style="1" customWidth="1"/>
    <col min="30" max="16384" width="8.57017543859649" style="1"/>
  </cols>
  <sheetData>
    <row r="1" ht="26.1" customHeight="1" spans="1:22">
      <c r="A1" s="3"/>
      <c r="B1" s="3"/>
      <c r="C1" s="3"/>
      <c r="D1" s="3"/>
      <c r="E1" s="3"/>
      <c r="F1" s="3"/>
      <c r="G1" s="3"/>
      <c r="H1" s="3"/>
      <c r="I1" s="3"/>
      <c r="J1" s="3"/>
      <c r="K1" s="3" t="s">
        <v>139</v>
      </c>
      <c r="L1" s="3"/>
      <c r="M1" s="39"/>
      <c r="N1" s="3"/>
      <c r="O1" s="3"/>
      <c r="P1" s="3"/>
      <c r="Q1" s="3"/>
      <c r="R1" s="3"/>
      <c r="S1" s="3"/>
      <c r="T1" s="3"/>
      <c r="U1" s="3"/>
      <c r="V1" s="129" t="s">
        <v>140</v>
      </c>
    </row>
    <row r="2" ht="43.35" customHeight="1" spans="1:28">
      <c r="A2" s="4" t="s">
        <v>141</v>
      </c>
      <c r="B2" s="5" t="s">
        <v>142</v>
      </c>
      <c r="C2" s="4" t="s">
        <v>143</v>
      </c>
      <c r="D2" s="6" t="s">
        <v>144</v>
      </c>
      <c r="E2" s="4" t="s">
        <v>145</v>
      </c>
      <c r="F2" s="4" t="s">
        <v>146</v>
      </c>
      <c r="G2" s="4" t="s">
        <v>147</v>
      </c>
      <c r="H2" s="6" t="s">
        <v>144</v>
      </c>
      <c r="I2" s="40" t="s">
        <v>148</v>
      </c>
      <c r="J2" s="41" t="s">
        <v>149</v>
      </c>
      <c r="K2" s="42" t="s">
        <v>150</v>
      </c>
      <c r="L2" s="41" t="s">
        <v>151</v>
      </c>
      <c r="M2" s="42" t="s">
        <v>152</v>
      </c>
      <c r="N2" s="41" t="s">
        <v>153</v>
      </c>
      <c r="O2" s="41" t="s">
        <v>154</v>
      </c>
      <c r="P2" s="43" t="s">
        <v>155</v>
      </c>
      <c r="Q2" s="130"/>
      <c r="R2" s="131"/>
      <c r="S2" s="41" t="s">
        <v>156</v>
      </c>
      <c r="T2" s="6" t="s">
        <v>157</v>
      </c>
      <c r="U2" s="132" t="s">
        <v>158</v>
      </c>
      <c r="V2" s="133" t="s">
        <v>159</v>
      </c>
      <c r="W2" s="134"/>
      <c r="AB2" s="1">
        <f>AB3-W3</f>
        <v>983</v>
      </c>
    </row>
    <row r="3" ht="30.3" spans="1:29">
      <c r="A3" s="6"/>
      <c r="B3" s="7"/>
      <c r="C3" s="6"/>
      <c r="D3" s="8"/>
      <c r="E3" s="6"/>
      <c r="F3" s="4"/>
      <c r="G3" s="6"/>
      <c r="H3" s="8"/>
      <c r="I3" s="44"/>
      <c r="J3" s="45"/>
      <c r="K3" s="46"/>
      <c r="L3" s="45"/>
      <c r="M3" s="46"/>
      <c r="N3" s="45"/>
      <c r="O3" s="45"/>
      <c r="P3" s="45" t="s">
        <v>160</v>
      </c>
      <c r="Q3" s="45" t="s">
        <v>161</v>
      </c>
      <c r="R3" s="45" t="s">
        <v>162</v>
      </c>
      <c r="S3" s="45"/>
      <c r="T3" s="8"/>
      <c r="U3" s="135"/>
      <c r="V3" s="136" t="s">
        <v>163</v>
      </c>
      <c r="W3" s="137">
        <v>336184</v>
      </c>
      <c r="Y3" s="1" t="s">
        <v>164</v>
      </c>
      <c r="AB3" s="160">
        <v>337167</v>
      </c>
      <c r="AC3" s="161">
        <v>45467</v>
      </c>
    </row>
    <row r="4" ht="24.75" customHeight="1" spans="1:25">
      <c r="A4" s="9">
        <f>1</f>
        <v>1</v>
      </c>
      <c r="B4" s="10" t="e">
        <f>#REF!</f>
        <v>#REF!</v>
      </c>
      <c r="C4" s="11" t="str">
        <f>CONCATENATE($C$2,1)</f>
        <v>Z1</v>
      </c>
      <c r="D4" s="12" t="str">
        <f>C4</f>
        <v>Z1</v>
      </c>
      <c r="E4" s="13" t="e">
        <f>B4</f>
        <v>#REF!</v>
      </c>
      <c r="F4" s="13" t="str">
        <f>CONCATENATE($F$2,1)</f>
        <v>S1</v>
      </c>
      <c r="G4" s="14" t="s">
        <v>31</v>
      </c>
      <c r="H4" s="9" t="s">
        <v>165</v>
      </c>
      <c r="I4" s="47" t="s">
        <v>166</v>
      </c>
      <c r="J4" s="48" t="s">
        <v>167</v>
      </c>
      <c r="K4" s="49">
        <f t="shared" ref="K4:K15" si="0">IFERROR(J4/$W$3,0)</f>
        <v>0</v>
      </c>
      <c r="L4" s="48">
        <v>48401</v>
      </c>
      <c r="M4" s="49">
        <f t="shared" ref="M4:M15" si="1">IFERROR(L4/$W$4,0)</f>
        <v>0.0257680613607917</v>
      </c>
      <c r="N4" s="48">
        <v>508638</v>
      </c>
      <c r="O4" s="48">
        <v>365357</v>
      </c>
      <c r="P4" s="1">
        <v>36849</v>
      </c>
      <c r="Q4" s="48">
        <v>1834</v>
      </c>
      <c r="R4" s="48">
        <v>5641</v>
      </c>
      <c r="S4" s="48">
        <v>98957</v>
      </c>
      <c r="T4" s="138">
        <f>SUM(P4:S4)</f>
        <v>143281</v>
      </c>
      <c r="U4" s="49">
        <f>IFERROR(T4/N4,0)</f>
        <v>0.281695429755543</v>
      </c>
      <c r="V4" s="136" t="s">
        <v>168</v>
      </c>
      <c r="W4" s="137">
        <v>1878333</v>
      </c>
      <c r="Y4" s="1" t="s">
        <v>164</v>
      </c>
    </row>
    <row r="5" ht="24.75" customHeight="1" spans="1:23">
      <c r="A5" s="15"/>
      <c r="B5" s="10"/>
      <c r="C5" s="16"/>
      <c r="D5" s="12"/>
      <c r="E5" s="17"/>
      <c r="F5" s="17"/>
      <c r="G5" s="9"/>
      <c r="H5" s="17"/>
      <c r="I5" s="50" t="s">
        <v>169</v>
      </c>
      <c r="J5" s="51">
        <v>8300</v>
      </c>
      <c r="K5" s="52">
        <f>IFERROR(J5/$W$3,0)</f>
        <v>0.024688860861909</v>
      </c>
      <c r="L5" s="48">
        <v>48401</v>
      </c>
      <c r="M5" s="52">
        <f t="shared" si="1"/>
        <v>0.0257680613607917</v>
      </c>
      <c r="N5" s="48">
        <v>508638</v>
      </c>
      <c r="O5" s="48">
        <v>426359</v>
      </c>
      <c r="P5" s="53">
        <v>16957</v>
      </c>
      <c r="Q5" s="53">
        <v>3486</v>
      </c>
      <c r="R5" s="53">
        <v>5009</v>
      </c>
      <c r="S5" s="53">
        <v>56827</v>
      </c>
      <c r="T5" s="61">
        <f t="shared" ref="T4:T15" si="2">SUM(P5:S5)</f>
        <v>82279</v>
      </c>
      <c r="U5" s="52">
        <f t="shared" ref="U4:U30" si="3">IFERROR(T5/N5,0)</f>
        <v>0.161763375917647</v>
      </c>
      <c r="V5" s="1" t="s">
        <v>170</v>
      </c>
      <c r="W5" s="139">
        <f>U4-U5</f>
        <v>0.119932053837897</v>
      </c>
    </row>
    <row r="6" ht="24.75" customHeight="1" spans="1:23">
      <c r="A6" s="9">
        <f>A4+1</f>
        <v>2</v>
      </c>
      <c r="B6" s="10"/>
      <c r="C6" s="11" t="str">
        <f>CONCATENATE($C$2,1)</f>
        <v>Z1</v>
      </c>
      <c r="D6" s="12"/>
      <c r="E6" s="9" t="s">
        <v>171</v>
      </c>
      <c r="F6" s="9" t="str">
        <f t="shared" ref="F6" si="4">CONCATENATE($F$2,2)</f>
        <v>S2</v>
      </c>
      <c r="G6" s="9"/>
      <c r="H6" s="9" t="s">
        <v>172</v>
      </c>
      <c r="I6" s="54" t="s">
        <v>166</v>
      </c>
      <c r="J6" s="55">
        <v>787</v>
      </c>
      <c r="K6" s="56">
        <f t="shared" si="0"/>
        <v>0.00234097993955691</v>
      </c>
      <c r="L6" s="55">
        <v>4009</v>
      </c>
      <c r="M6" s="56">
        <f t="shared" si="1"/>
        <v>0.00213433933173724</v>
      </c>
      <c r="N6" s="55">
        <v>33502</v>
      </c>
      <c r="O6" s="55">
        <v>23950</v>
      </c>
      <c r="P6" s="55">
        <v>3109</v>
      </c>
      <c r="Q6" s="55">
        <v>900</v>
      </c>
      <c r="R6" s="55">
        <v>2002</v>
      </c>
      <c r="S6" s="55">
        <v>3541</v>
      </c>
      <c r="T6" s="60">
        <f t="shared" si="2"/>
        <v>9552</v>
      </c>
      <c r="U6" s="56">
        <f t="shared" si="3"/>
        <v>0.285117306429467</v>
      </c>
      <c r="W6" s="139"/>
    </row>
    <row r="7" ht="24.75" customHeight="1" spans="1:23">
      <c r="A7" s="15"/>
      <c r="B7" s="10"/>
      <c r="C7" s="16"/>
      <c r="D7" s="12"/>
      <c r="E7" s="17"/>
      <c r="F7" s="17"/>
      <c r="G7" s="9"/>
      <c r="H7" s="17"/>
      <c r="I7" s="50" t="s">
        <v>169</v>
      </c>
      <c r="J7" s="51">
        <v>797</v>
      </c>
      <c r="K7" s="52">
        <f t="shared" si="0"/>
        <v>0.00237072555505319</v>
      </c>
      <c r="L7" s="53">
        <v>4009</v>
      </c>
      <c r="M7" s="52">
        <f t="shared" si="1"/>
        <v>0.00213433933173724</v>
      </c>
      <c r="N7" s="53">
        <v>33410</v>
      </c>
      <c r="O7" s="53">
        <v>27512</v>
      </c>
      <c r="P7" s="53">
        <v>2017</v>
      </c>
      <c r="Q7" s="53">
        <v>500</v>
      </c>
      <c r="R7" s="53">
        <v>1126</v>
      </c>
      <c r="S7" s="53">
        <v>2347</v>
      </c>
      <c r="T7" s="61">
        <f t="shared" si="2"/>
        <v>5990</v>
      </c>
      <c r="U7" s="52">
        <f t="shared" si="3"/>
        <v>0.179287638431607</v>
      </c>
      <c r="V7" s="1" t="s">
        <v>173</v>
      </c>
      <c r="W7" s="139">
        <f>U6-U7</f>
        <v>0.10582966799786</v>
      </c>
    </row>
    <row r="8" ht="24.75" customHeight="1" spans="1:28">
      <c r="A8" s="9">
        <f t="shared" ref="A8" si="5">A6+1</f>
        <v>3</v>
      </c>
      <c r="B8" s="10"/>
      <c r="C8" s="11" t="str">
        <f>CONCATENATE($C$2,1)</f>
        <v>Z1</v>
      </c>
      <c r="D8" s="12"/>
      <c r="E8" s="9" t="s">
        <v>174</v>
      </c>
      <c r="F8" s="9" t="str">
        <f>CONCATENATE($F$2,3)</f>
        <v>S3</v>
      </c>
      <c r="G8" s="9"/>
      <c r="H8" s="9" t="s">
        <v>175</v>
      </c>
      <c r="I8" s="54" t="s">
        <v>166</v>
      </c>
      <c r="J8" s="55" t="s">
        <v>176</v>
      </c>
      <c r="K8" s="56">
        <f t="shared" si="0"/>
        <v>0</v>
      </c>
      <c r="L8" s="55">
        <v>10036</v>
      </c>
      <c r="M8" s="56">
        <f t="shared" si="1"/>
        <v>0.00534303555333373</v>
      </c>
      <c r="N8" s="55">
        <v>106888</v>
      </c>
      <c r="O8" s="55">
        <v>75620</v>
      </c>
      <c r="P8" s="55">
        <v>7649</v>
      </c>
      <c r="Q8" s="55">
        <v>700</v>
      </c>
      <c r="R8" s="55">
        <v>1090</v>
      </c>
      <c r="S8" s="55">
        <v>21829</v>
      </c>
      <c r="T8" s="60">
        <f t="shared" si="2"/>
        <v>31268</v>
      </c>
      <c r="U8" s="56">
        <f t="shared" si="3"/>
        <v>0.292530499214131</v>
      </c>
      <c r="AB8" s="162">
        <v>15095</v>
      </c>
    </row>
    <row r="9" ht="24.75" customHeight="1" spans="1:28">
      <c r="A9" s="15"/>
      <c r="B9" s="10"/>
      <c r="C9" s="16"/>
      <c r="D9" s="12"/>
      <c r="E9" s="17"/>
      <c r="F9" s="17"/>
      <c r="G9" s="9"/>
      <c r="H9" s="17"/>
      <c r="I9" s="50" t="s">
        <v>169</v>
      </c>
      <c r="J9" s="53">
        <v>1215</v>
      </c>
      <c r="K9" s="52">
        <f t="shared" si="0"/>
        <v>0.00361409228279752</v>
      </c>
      <c r="L9" s="53">
        <v>10036</v>
      </c>
      <c r="M9" s="52">
        <f t="shared" si="1"/>
        <v>0.00534303555333373</v>
      </c>
      <c r="N9" s="53">
        <v>106888</v>
      </c>
      <c r="O9" s="53">
        <v>88636</v>
      </c>
      <c r="P9" s="53">
        <v>2849</v>
      </c>
      <c r="Q9" s="53">
        <v>528</v>
      </c>
      <c r="R9" s="53">
        <v>867</v>
      </c>
      <c r="S9" s="53">
        <v>14008</v>
      </c>
      <c r="T9" s="61">
        <f t="shared" si="2"/>
        <v>18252</v>
      </c>
      <c r="U9" s="52">
        <f t="shared" si="3"/>
        <v>0.170758176783175</v>
      </c>
      <c r="V9" s="1" t="s">
        <v>174</v>
      </c>
      <c r="W9" s="139">
        <f>U8-U9</f>
        <v>0.121772322430956</v>
      </c>
      <c r="AB9" s="163">
        <v>22568</v>
      </c>
    </row>
    <row r="10" ht="34.5" customHeight="1" spans="1:28">
      <c r="A10" s="9">
        <f t="shared" ref="A10:A14" si="6">A8+1</f>
        <v>4</v>
      </c>
      <c r="B10" s="10"/>
      <c r="C10" s="11" t="str">
        <f>CONCATENATE($C$2,1)</f>
        <v>Z1</v>
      </c>
      <c r="D10" s="12"/>
      <c r="E10" s="18" t="s">
        <v>177</v>
      </c>
      <c r="F10" s="18" t="str">
        <f>CONCATENATE($F$2,4)</f>
        <v>S4</v>
      </c>
      <c r="G10" s="9"/>
      <c r="H10" s="9" t="s">
        <v>178</v>
      </c>
      <c r="I10" s="54" t="s">
        <v>166</v>
      </c>
      <c r="J10" s="55">
        <v>2022</v>
      </c>
      <c r="K10" s="56">
        <f t="shared" si="0"/>
        <v>0.00601456345334698</v>
      </c>
      <c r="L10" s="55">
        <v>4589</v>
      </c>
      <c r="M10" s="56">
        <f t="shared" si="1"/>
        <v>0.00244312376985338</v>
      </c>
      <c r="N10" s="55">
        <v>30161</v>
      </c>
      <c r="O10" s="55">
        <v>19957</v>
      </c>
      <c r="P10" s="55">
        <v>2957</v>
      </c>
      <c r="Q10" s="55">
        <v>200</v>
      </c>
      <c r="R10" s="55">
        <v>523</v>
      </c>
      <c r="S10" s="55">
        <v>6524</v>
      </c>
      <c r="T10" s="60">
        <f t="shared" si="2"/>
        <v>10204</v>
      </c>
      <c r="U10" s="140">
        <f t="shared" si="3"/>
        <v>0.338317695036637</v>
      </c>
      <c r="V10" s="141"/>
      <c r="AB10" s="164">
        <v>75219</v>
      </c>
    </row>
    <row r="11" ht="33.75" customHeight="1" spans="1:28">
      <c r="A11" s="15"/>
      <c r="B11" s="10"/>
      <c r="C11" s="16"/>
      <c r="D11" s="12"/>
      <c r="E11" s="17"/>
      <c r="F11" s="17"/>
      <c r="G11" s="9"/>
      <c r="H11" s="17"/>
      <c r="I11" s="57" t="s">
        <v>169</v>
      </c>
      <c r="J11" s="51" t="s">
        <v>179</v>
      </c>
      <c r="K11" s="56">
        <f t="shared" si="0"/>
        <v>0</v>
      </c>
      <c r="L11" s="55">
        <v>4589</v>
      </c>
      <c r="M11" s="56">
        <f t="shared" si="1"/>
        <v>0.00244312376985338</v>
      </c>
      <c r="N11" s="53">
        <v>29847</v>
      </c>
      <c r="O11" s="53">
        <v>24061</v>
      </c>
      <c r="P11" s="53">
        <v>1659</v>
      </c>
      <c r="Q11" s="53">
        <v>46</v>
      </c>
      <c r="R11" s="53">
        <v>100</v>
      </c>
      <c r="S11" s="53">
        <v>4295</v>
      </c>
      <c r="T11" s="61">
        <f t="shared" si="2"/>
        <v>6100</v>
      </c>
      <c r="U11" s="52">
        <f t="shared" si="3"/>
        <v>0.204375649143968</v>
      </c>
      <c r="V11" s="1" t="s">
        <v>177</v>
      </c>
      <c r="W11" s="139">
        <f>U10-U11</f>
        <v>0.133942045892669</v>
      </c>
      <c r="AB11" s="163">
        <v>5172</v>
      </c>
    </row>
    <row r="12" ht="24.75" customHeight="1" spans="1:28">
      <c r="A12" s="9">
        <f t="shared" si="6"/>
        <v>5</v>
      </c>
      <c r="B12" s="10"/>
      <c r="C12" s="11" t="str">
        <f>CONCATENATE($C$2,1)</f>
        <v>Z1</v>
      </c>
      <c r="D12" s="12"/>
      <c r="E12" s="18" t="s">
        <v>180</v>
      </c>
      <c r="F12" s="18" t="str">
        <f>CONCATENATE($F$2,5)</f>
        <v>S5</v>
      </c>
      <c r="G12" s="9"/>
      <c r="H12" s="9" t="s">
        <v>181</v>
      </c>
      <c r="I12" s="58" t="s">
        <v>166</v>
      </c>
      <c r="J12" s="59">
        <v>3275</v>
      </c>
      <c r="K12" s="56">
        <f t="shared" si="0"/>
        <v>0.00974168907503034</v>
      </c>
      <c r="L12" s="55">
        <v>6500</v>
      </c>
      <c r="M12" s="56">
        <f t="shared" si="1"/>
        <v>0.00346051525474982</v>
      </c>
      <c r="N12" s="55">
        <v>56128</v>
      </c>
      <c r="O12" s="60">
        <v>40358</v>
      </c>
      <c r="P12" s="55">
        <v>2486</v>
      </c>
      <c r="Q12" s="142">
        <v>506</v>
      </c>
      <c r="R12" s="55">
        <v>851</v>
      </c>
      <c r="S12" s="55">
        <v>11927</v>
      </c>
      <c r="T12" s="60">
        <f t="shared" si="2"/>
        <v>15770</v>
      </c>
      <c r="U12" s="56">
        <f t="shared" si="3"/>
        <v>0.280964937286203</v>
      </c>
      <c r="AB12" s="165">
        <v>15315</v>
      </c>
    </row>
    <row r="13" ht="24.75" customHeight="1" spans="1:28">
      <c r="A13" s="15"/>
      <c r="B13" s="10"/>
      <c r="C13" s="16"/>
      <c r="D13" s="12"/>
      <c r="E13" s="17"/>
      <c r="F13" s="17"/>
      <c r="G13" s="9"/>
      <c r="H13" s="17"/>
      <c r="I13" s="57" t="s">
        <v>169</v>
      </c>
      <c r="J13" s="53" t="s">
        <v>182</v>
      </c>
      <c r="K13" s="56">
        <f t="shared" si="0"/>
        <v>0</v>
      </c>
      <c r="L13" s="53">
        <v>6500</v>
      </c>
      <c r="M13" s="56">
        <f t="shared" si="1"/>
        <v>0.00346051525474982</v>
      </c>
      <c r="N13" s="53">
        <v>55768</v>
      </c>
      <c r="O13" s="61">
        <v>45853</v>
      </c>
      <c r="P13" s="53">
        <v>2013</v>
      </c>
      <c r="Q13" s="143">
        <v>331</v>
      </c>
      <c r="R13" s="53">
        <v>712</v>
      </c>
      <c r="S13" s="53">
        <v>7219</v>
      </c>
      <c r="T13" s="61">
        <f t="shared" si="2"/>
        <v>10275</v>
      </c>
      <c r="U13" s="52">
        <f t="shared" si="3"/>
        <v>0.184245445416726</v>
      </c>
      <c r="V13" s="1" t="s">
        <v>180</v>
      </c>
      <c r="W13" s="139">
        <f>U12-U13</f>
        <v>0.0967194918694765</v>
      </c>
      <c r="AB13" s="1">
        <f>SUM(AB8:AB12)</f>
        <v>133369</v>
      </c>
    </row>
    <row r="14" ht="24.75" customHeight="1" spans="1:21">
      <c r="A14" s="9">
        <f t="shared" si="6"/>
        <v>6</v>
      </c>
      <c r="B14" s="10"/>
      <c r="C14" s="11" t="str">
        <f>CONCATENATE($C$2,1)</f>
        <v>Z1</v>
      </c>
      <c r="D14" s="12"/>
      <c r="E14" s="18" t="s">
        <v>183</v>
      </c>
      <c r="F14" s="18" t="str">
        <f>CONCATENATE($F$2,6)</f>
        <v>S6</v>
      </c>
      <c r="G14" s="9"/>
      <c r="H14" s="9" t="s">
        <v>184</v>
      </c>
      <c r="I14" s="62" t="s">
        <v>166</v>
      </c>
      <c r="J14" s="55">
        <v>822</v>
      </c>
      <c r="K14" s="56">
        <f t="shared" si="0"/>
        <v>0.00244508959379387</v>
      </c>
      <c r="L14" s="53">
        <v>5650</v>
      </c>
      <c r="M14" s="56">
        <f t="shared" si="1"/>
        <v>0.003007986336821</v>
      </c>
      <c r="N14" s="55">
        <v>61217</v>
      </c>
      <c r="O14" s="60">
        <v>43050</v>
      </c>
      <c r="P14" s="55">
        <v>3007</v>
      </c>
      <c r="Q14" s="142">
        <v>496</v>
      </c>
      <c r="R14" s="55">
        <v>1137</v>
      </c>
      <c r="S14" s="55">
        <v>13527</v>
      </c>
      <c r="T14" s="60">
        <f t="shared" si="2"/>
        <v>18167</v>
      </c>
      <c r="U14" s="56">
        <f t="shared" si="3"/>
        <v>0.296763970792427</v>
      </c>
    </row>
    <row r="15" ht="24.75" customHeight="1" spans="1:23">
      <c r="A15" s="15"/>
      <c r="B15" s="10"/>
      <c r="C15" s="16"/>
      <c r="D15" s="12"/>
      <c r="E15" s="17"/>
      <c r="F15" s="17"/>
      <c r="G15" s="17"/>
      <c r="H15" s="17"/>
      <c r="I15" s="57" t="s">
        <v>169</v>
      </c>
      <c r="J15" s="53">
        <v>832</v>
      </c>
      <c r="K15" s="56">
        <f t="shared" si="0"/>
        <v>0.00247483520929015</v>
      </c>
      <c r="L15" s="53">
        <v>5650</v>
      </c>
      <c r="M15" s="56">
        <f t="shared" si="1"/>
        <v>0.003007986336821</v>
      </c>
      <c r="N15" s="53">
        <v>61131</v>
      </c>
      <c r="O15" s="63">
        <v>50310</v>
      </c>
      <c r="P15" s="64">
        <v>2727</v>
      </c>
      <c r="Q15" s="63">
        <v>310</v>
      </c>
      <c r="R15" s="64">
        <v>657</v>
      </c>
      <c r="S15" s="64">
        <v>7213</v>
      </c>
      <c r="T15" s="63">
        <f t="shared" si="2"/>
        <v>10907</v>
      </c>
      <c r="U15" s="78">
        <f t="shared" si="3"/>
        <v>0.178420114181021</v>
      </c>
      <c r="V15" s="1" t="s">
        <v>183</v>
      </c>
      <c r="W15" s="139">
        <f>U14-U15</f>
        <v>0.118343856611406</v>
      </c>
    </row>
    <row r="16" ht="17.1" spans="1:28">
      <c r="A16" s="19"/>
      <c r="B16" s="20"/>
      <c r="C16" s="21"/>
      <c r="D16" s="21"/>
      <c r="E16" s="21"/>
      <c r="F16" s="21"/>
      <c r="G16" s="21"/>
      <c r="H16" s="21"/>
      <c r="I16" s="65"/>
      <c r="J16" s="21"/>
      <c r="K16" s="66"/>
      <c r="L16" s="21"/>
      <c r="M16" s="67"/>
      <c r="N16" s="68">
        <f>SUM(N4,N6,N8,N10,N12,N14)-SUM(N5,N7,N9,N11,N13,N15)</f>
        <v>852</v>
      </c>
      <c r="O16" s="69"/>
      <c r="P16" s="70"/>
      <c r="Q16" s="70"/>
      <c r="R16" s="70"/>
      <c r="S16" s="70"/>
      <c r="T16" s="144">
        <f>SUM(T4,T6,T8,T10,T12,T14)-SUM(T5,T7,T9,T11,T13,T15)</f>
        <v>94439</v>
      </c>
      <c r="U16" s="145">
        <f t="shared" si="3"/>
        <v>110.843896713615</v>
      </c>
      <c r="V16" s="1">
        <f>SUM(N4,N6,N8,N10,N12,N14)</f>
        <v>796534</v>
      </c>
      <c r="W16" s="146">
        <f>T16/V16</f>
        <v>0.118562421691981</v>
      </c>
      <c r="X16" s="147">
        <f>AVERAGE(W5+W7+W9+W11+W13+W15)/6</f>
        <v>0.116089906440044</v>
      </c>
      <c r="AB16" s="166"/>
    </row>
    <row r="17" ht="29.25" customHeight="1" spans="1:28">
      <c r="A17" s="18">
        <f>A14+1</f>
        <v>7</v>
      </c>
      <c r="B17" s="22" t="e">
        <f>#REF!</f>
        <v>#REF!</v>
      </c>
      <c r="C17" s="18" t="str">
        <f>CONCATENATE($C$2,2)</f>
        <v>Z2</v>
      </c>
      <c r="D17" s="18" t="str">
        <f>C17</f>
        <v>Z2</v>
      </c>
      <c r="E17" s="18" t="e">
        <f>#REF!</f>
        <v>#REF!</v>
      </c>
      <c r="F17" s="18" t="str">
        <f>CONCATENATE($F$2,1)</f>
        <v>S1</v>
      </c>
      <c r="G17" s="18" t="s">
        <v>31</v>
      </c>
      <c r="H17" s="23" t="s">
        <v>185</v>
      </c>
      <c r="I17" s="71" t="s">
        <v>166</v>
      </c>
      <c r="J17" s="55">
        <v>427</v>
      </c>
      <c r="K17" s="56">
        <f t="shared" ref="K17:K24" si="7">IFERROR(J17/$W$3,0)</f>
        <v>0.00127013778169098</v>
      </c>
      <c r="L17" s="55">
        <v>1658</v>
      </c>
      <c r="M17" s="56">
        <f t="shared" ref="M17:M24" si="8">IFERROR(L17/$W$4,0)</f>
        <v>0.00088269758344234</v>
      </c>
      <c r="N17" s="72">
        <v>13791.528</v>
      </c>
      <c r="O17" s="55">
        <v>9925</v>
      </c>
      <c r="P17" s="55">
        <v>1450</v>
      </c>
      <c r="Q17" s="55">
        <v>815</v>
      </c>
      <c r="R17" s="55">
        <v>427</v>
      </c>
      <c r="S17" s="55">
        <v>1174.5</v>
      </c>
      <c r="T17" s="138">
        <f t="shared" ref="T17:T24" si="9">SUM(P17:S17)</f>
        <v>3866.5</v>
      </c>
      <c r="U17" s="49">
        <f t="shared" si="3"/>
        <v>0.280353271950722</v>
      </c>
      <c r="W17" s="139"/>
      <c r="AB17" s="166"/>
    </row>
    <row r="18" ht="35.25" customHeight="1" spans="1:21">
      <c r="A18" s="15"/>
      <c r="B18" s="24"/>
      <c r="C18" s="17"/>
      <c r="D18" s="9"/>
      <c r="E18" s="17"/>
      <c r="F18" s="17"/>
      <c r="G18" s="9"/>
      <c r="H18" s="25"/>
      <c r="I18" s="73" t="s">
        <v>169</v>
      </c>
      <c r="J18" s="53">
        <v>427</v>
      </c>
      <c r="K18" s="52">
        <f t="shared" si="7"/>
        <v>0.00127013778169098</v>
      </c>
      <c r="L18" s="53">
        <v>1658</v>
      </c>
      <c r="M18" s="52">
        <f t="shared" si="8"/>
        <v>0.00088269758344234</v>
      </c>
      <c r="N18" s="74">
        <v>13482</v>
      </c>
      <c r="O18" s="53">
        <v>11025</v>
      </c>
      <c r="P18" s="53">
        <v>952</v>
      </c>
      <c r="Q18" s="53">
        <v>483</v>
      </c>
      <c r="R18" s="53">
        <v>227</v>
      </c>
      <c r="S18" s="53">
        <v>1104.52</v>
      </c>
      <c r="T18" s="61">
        <f t="shared" si="9"/>
        <v>2766.52</v>
      </c>
      <c r="U18" s="52">
        <f t="shared" si="3"/>
        <v>0.205201008752411</v>
      </c>
    </row>
    <row r="19" ht="31.5" customHeight="1" spans="1:21">
      <c r="A19" s="18">
        <f>A17+1</f>
        <v>8</v>
      </c>
      <c r="B19" s="24"/>
      <c r="C19" s="9" t="str">
        <f>CONCATENATE($C$2,2)</f>
        <v>Z2</v>
      </c>
      <c r="D19" s="9"/>
      <c r="E19" s="9" t="e">
        <f>#REF!</f>
        <v>#REF!</v>
      </c>
      <c r="F19" s="9" t="str">
        <f t="shared" ref="F19" si="10">CONCATENATE($F$2,2)</f>
        <v>S2</v>
      </c>
      <c r="G19" s="9"/>
      <c r="H19" s="23" t="s">
        <v>186</v>
      </c>
      <c r="I19" s="71" t="s">
        <v>166</v>
      </c>
      <c r="J19" s="55">
        <v>2869</v>
      </c>
      <c r="K19" s="56">
        <f t="shared" si="7"/>
        <v>0.00853401708588154</v>
      </c>
      <c r="L19" s="55">
        <v>14345</v>
      </c>
      <c r="M19" s="56">
        <f t="shared" si="8"/>
        <v>0.00763709097375173</v>
      </c>
      <c r="N19" s="72">
        <v>155280.24</v>
      </c>
      <c r="O19" s="55">
        <v>112360</v>
      </c>
      <c r="P19" s="55">
        <v>30248</v>
      </c>
      <c r="Q19" s="55">
        <v>6248</v>
      </c>
      <c r="R19" s="55">
        <v>3485</v>
      </c>
      <c r="S19" s="55">
        <v>2939</v>
      </c>
      <c r="T19" s="60">
        <f t="shared" si="9"/>
        <v>42920</v>
      </c>
      <c r="U19" s="56">
        <f t="shared" si="3"/>
        <v>0.276403488299606</v>
      </c>
    </row>
    <row r="20" ht="36" customHeight="1" spans="1:21">
      <c r="A20" s="15"/>
      <c r="B20" s="24"/>
      <c r="C20" s="17"/>
      <c r="D20" s="9"/>
      <c r="E20" s="17"/>
      <c r="F20" s="17"/>
      <c r="G20" s="9"/>
      <c r="H20" s="25"/>
      <c r="I20" s="73" t="s">
        <v>169</v>
      </c>
      <c r="J20" s="53">
        <v>2869</v>
      </c>
      <c r="K20" s="52">
        <f t="shared" si="7"/>
        <v>0.00853401708588154</v>
      </c>
      <c r="L20" s="53">
        <v>14345</v>
      </c>
      <c r="M20" s="52">
        <f t="shared" si="8"/>
        <v>0.00763709097375173</v>
      </c>
      <c r="N20" s="74">
        <v>155001</v>
      </c>
      <c r="O20" s="53">
        <v>121523</v>
      </c>
      <c r="P20" s="53">
        <v>25482</v>
      </c>
      <c r="Q20" s="53">
        <v>4125</v>
      </c>
      <c r="R20" s="53">
        <v>1467</v>
      </c>
      <c r="S20" s="53">
        <v>2683</v>
      </c>
      <c r="T20" s="61">
        <f t="shared" si="9"/>
        <v>33757</v>
      </c>
      <c r="U20" s="52">
        <f t="shared" si="3"/>
        <v>0.217785691705215</v>
      </c>
    </row>
    <row r="21" ht="40.5" customHeight="1" spans="1:21">
      <c r="A21" s="18">
        <f>A19+1</f>
        <v>9</v>
      </c>
      <c r="B21" s="24"/>
      <c r="C21" s="9" t="str">
        <f>CONCATENATE($C$2,2)</f>
        <v>Z2</v>
      </c>
      <c r="D21" s="9"/>
      <c r="E21" s="9" t="e">
        <f>#REF!</f>
        <v>#REF!</v>
      </c>
      <c r="F21" s="9" t="str">
        <f>CONCATENATE($F$2,3)</f>
        <v>S3</v>
      </c>
      <c r="G21" s="9"/>
      <c r="H21" s="23" t="s">
        <v>187</v>
      </c>
      <c r="I21" s="71" t="s">
        <v>166</v>
      </c>
      <c r="J21" s="55">
        <v>18158</v>
      </c>
      <c r="K21" s="56">
        <f t="shared" si="7"/>
        <v>0.0540120886181377</v>
      </c>
      <c r="L21" s="55">
        <v>23241</v>
      </c>
      <c r="M21" s="56">
        <f t="shared" si="8"/>
        <v>0.0123732053900986</v>
      </c>
      <c r="N21" s="72">
        <v>215867.88</v>
      </c>
      <c r="O21" s="55">
        <v>146152</v>
      </c>
      <c r="P21" s="55">
        <v>45128</v>
      </c>
      <c r="Q21" s="55">
        <v>10548</v>
      </c>
      <c r="R21" s="55">
        <v>6354</v>
      </c>
      <c r="S21" s="55">
        <v>7685.88</v>
      </c>
      <c r="T21" s="60">
        <f t="shared" si="9"/>
        <v>69715.88</v>
      </c>
      <c r="U21" s="56">
        <f t="shared" si="3"/>
        <v>0.322956245273729</v>
      </c>
    </row>
    <row r="22" ht="45.75" customHeight="1" spans="1:21">
      <c r="A22" s="15"/>
      <c r="B22" s="24"/>
      <c r="C22" s="17"/>
      <c r="D22" s="9"/>
      <c r="E22" s="17"/>
      <c r="F22" s="17"/>
      <c r="G22" s="9"/>
      <c r="H22" s="25"/>
      <c r="I22" s="73" t="s">
        <v>169</v>
      </c>
      <c r="J22" s="53">
        <v>18158</v>
      </c>
      <c r="K22" s="52">
        <f t="shared" si="7"/>
        <v>0.0540120886181377</v>
      </c>
      <c r="L22" s="53">
        <v>23241</v>
      </c>
      <c r="M22" s="52">
        <f t="shared" si="8"/>
        <v>0.0123732053900986</v>
      </c>
      <c r="N22" s="74">
        <v>215709</v>
      </c>
      <c r="O22" s="53">
        <v>167234</v>
      </c>
      <c r="P22" s="53">
        <v>33514</v>
      </c>
      <c r="Q22" s="53">
        <v>6854</v>
      </c>
      <c r="R22" s="53">
        <v>4584</v>
      </c>
      <c r="S22" s="53">
        <v>3681.88</v>
      </c>
      <c r="T22" s="61">
        <f t="shared" si="9"/>
        <v>48633.88</v>
      </c>
      <c r="U22" s="52">
        <f t="shared" si="3"/>
        <v>0.225460597378876</v>
      </c>
    </row>
    <row r="23" ht="30.75" customHeight="1" spans="1:21">
      <c r="A23" s="18">
        <f>A21+1</f>
        <v>10</v>
      </c>
      <c r="B23" s="24"/>
      <c r="C23" s="9" t="str">
        <f>CONCATENATE($C$2,2)</f>
        <v>Z2</v>
      </c>
      <c r="D23" s="9"/>
      <c r="E23" s="9" t="e">
        <f>#REF!</f>
        <v>#REF!</v>
      </c>
      <c r="F23" s="9" t="str">
        <f>CONCATENATE($F$2,4)</f>
        <v>S4</v>
      </c>
      <c r="G23" s="9"/>
      <c r="H23" s="23" t="s">
        <v>188</v>
      </c>
      <c r="I23" s="75" t="s">
        <v>166</v>
      </c>
      <c r="J23" s="48">
        <v>1114</v>
      </c>
      <c r="K23" s="49">
        <f t="shared" si="7"/>
        <v>0.00331366156628513</v>
      </c>
      <c r="L23" s="48">
        <v>2241</v>
      </c>
      <c r="M23" s="49">
        <f t="shared" si="8"/>
        <v>0.00119307918244529</v>
      </c>
      <c r="N23" s="76">
        <v>19255.464</v>
      </c>
      <c r="O23" s="48">
        <v>13236</v>
      </c>
      <c r="P23" s="48">
        <v>3459</v>
      </c>
      <c r="Q23" s="48">
        <v>1524</v>
      </c>
      <c r="R23" s="48">
        <v>628</v>
      </c>
      <c r="S23" s="48">
        <v>408.464</v>
      </c>
      <c r="T23" s="60">
        <f t="shared" si="9"/>
        <v>6019.464</v>
      </c>
      <c r="U23" s="49">
        <f t="shared" si="3"/>
        <v>0.312610695852357</v>
      </c>
    </row>
    <row r="24" ht="33" customHeight="1" spans="1:21">
      <c r="A24" s="9"/>
      <c r="B24" s="24"/>
      <c r="C24" s="9"/>
      <c r="D24" s="9"/>
      <c r="E24" s="9"/>
      <c r="F24" s="9"/>
      <c r="G24" s="17"/>
      <c r="H24" s="25"/>
      <c r="I24" s="77" t="s">
        <v>169</v>
      </c>
      <c r="J24" s="64">
        <v>6011</v>
      </c>
      <c r="K24" s="78">
        <f t="shared" si="7"/>
        <v>0.0178800894748114</v>
      </c>
      <c r="L24" s="64">
        <v>2241</v>
      </c>
      <c r="M24" s="78">
        <f t="shared" si="8"/>
        <v>0.00119307918244529</v>
      </c>
      <c r="N24" s="79">
        <v>19095</v>
      </c>
      <c r="O24" s="64">
        <v>15240</v>
      </c>
      <c r="P24" s="64">
        <v>1698</v>
      </c>
      <c r="Q24" s="64">
        <v>825</v>
      </c>
      <c r="R24" s="64">
        <v>367</v>
      </c>
      <c r="S24" s="64">
        <v>1125.464</v>
      </c>
      <c r="T24" s="61">
        <f t="shared" si="9"/>
        <v>4015.464</v>
      </c>
      <c r="U24" s="78">
        <f t="shared" si="3"/>
        <v>0.210288766692852</v>
      </c>
    </row>
    <row r="25" ht="16.35" spans="1:21">
      <c r="A25" s="19"/>
      <c r="B25" s="20"/>
      <c r="C25" s="21"/>
      <c r="D25" s="21"/>
      <c r="E25" s="21"/>
      <c r="F25" s="21"/>
      <c r="G25" s="21"/>
      <c r="H25" s="21"/>
      <c r="I25" s="21"/>
      <c r="J25" s="80"/>
      <c r="K25" s="81"/>
      <c r="L25" s="80"/>
      <c r="M25" s="82"/>
      <c r="N25" s="83">
        <f>SUM(N17,N19,N21,N23)-SUM(N18,N20,N22,N24)</f>
        <v>908.111999999965</v>
      </c>
      <c r="O25" s="83"/>
      <c r="P25" s="84"/>
      <c r="Q25" s="84"/>
      <c r="R25" s="84"/>
      <c r="S25" s="84"/>
      <c r="T25" s="148">
        <f>SUM(T17,T19,T21,T23)-SUM(T18,T20,T22,T24)</f>
        <v>33348.98</v>
      </c>
      <c r="U25" s="149">
        <f t="shared" si="3"/>
        <v>36.7234217805747</v>
      </c>
    </row>
    <row r="26" ht="29.25" customHeight="1" spans="1:21">
      <c r="A26" s="26">
        <f>A23+1</f>
        <v>11</v>
      </c>
      <c r="B26" s="27" t="e">
        <f>#REF!</f>
        <v>#REF!</v>
      </c>
      <c r="C26" s="26" t="str">
        <f>CONCATENATE($C$2,4)</f>
        <v>Z4</v>
      </c>
      <c r="D26" s="28" t="str">
        <f>C26</f>
        <v>Z4</v>
      </c>
      <c r="E26" s="26" t="s">
        <v>189</v>
      </c>
      <c r="F26" s="18" t="str">
        <f>CONCATENATE($F$2,1)</f>
        <v>S1</v>
      </c>
      <c r="G26" s="18"/>
      <c r="H26" s="18" t="s">
        <v>190</v>
      </c>
      <c r="I26" s="62" t="s">
        <v>166</v>
      </c>
      <c r="J26" s="85">
        <v>2159</v>
      </c>
      <c r="K26" s="86">
        <f t="shared" ref="K26:K31" si="11">IFERROR(J26/$W$3,0)</f>
        <v>0.00642207838564596</v>
      </c>
      <c r="L26" s="87">
        <v>36670</v>
      </c>
      <c r="M26" s="86">
        <f t="shared" ref="M26:M31" si="12">IFERROR(L26/$W$4,0)</f>
        <v>0.0195226299064117</v>
      </c>
      <c r="N26" s="87">
        <v>161505.21</v>
      </c>
      <c r="O26" s="87">
        <v>115683</v>
      </c>
      <c r="P26" s="87">
        <v>30249</v>
      </c>
      <c r="Q26" s="87">
        <v>3049</v>
      </c>
      <c r="R26" s="87">
        <v>2179.21</v>
      </c>
      <c r="S26" s="87">
        <v>10345</v>
      </c>
      <c r="T26" s="150">
        <f t="shared" ref="T26:T31" si="13">SUM(P26:S26)</f>
        <v>45822.21</v>
      </c>
      <c r="U26" s="151">
        <f t="shared" si="3"/>
        <v>0.28371970167402</v>
      </c>
    </row>
    <row r="27" ht="29.25" customHeight="1" spans="1:21">
      <c r="A27" s="11"/>
      <c r="B27" s="29"/>
      <c r="C27" s="11"/>
      <c r="D27" s="30"/>
      <c r="E27" s="11"/>
      <c r="F27" s="9"/>
      <c r="G27" s="9"/>
      <c r="H27" s="9"/>
      <c r="I27" s="47" t="s">
        <v>191</v>
      </c>
      <c r="J27" s="88"/>
      <c r="K27" s="89">
        <f t="shared" si="11"/>
        <v>0</v>
      </c>
      <c r="L27" s="90"/>
      <c r="M27" s="89">
        <f t="shared" si="12"/>
        <v>0</v>
      </c>
      <c r="N27" s="90">
        <v>163684</v>
      </c>
      <c r="O27" s="90">
        <v>135418</v>
      </c>
      <c r="P27" s="90">
        <v>22282</v>
      </c>
      <c r="Q27" s="90">
        <v>0</v>
      </c>
      <c r="R27" s="90">
        <v>0</v>
      </c>
      <c r="S27" s="90">
        <v>5984</v>
      </c>
      <c r="T27" s="152">
        <f t="shared" si="13"/>
        <v>28266</v>
      </c>
      <c r="U27" s="153">
        <f t="shared" si="3"/>
        <v>0.17268639573813</v>
      </c>
    </row>
    <row r="28" ht="29.25" customHeight="1" spans="1:21">
      <c r="A28" s="11"/>
      <c r="B28" s="29"/>
      <c r="C28" s="11"/>
      <c r="D28" s="30"/>
      <c r="E28" s="11" t="s">
        <v>192</v>
      </c>
      <c r="F28" s="9" t="s">
        <v>193</v>
      </c>
      <c r="G28" s="9"/>
      <c r="H28" s="31" t="s">
        <v>194</v>
      </c>
      <c r="I28" s="91" t="s">
        <v>166</v>
      </c>
      <c r="J28" s="87">
        <v>1396</v>
      </c>
      <c r="K28" s="86">
        <f t="shared" si="11"/>
        <v>0.00415248792328011</v>
      </c>
      <c r="L28" s="87">
        <v>10139</v>
      </c>
      <c r="M28" s="86">
        <f t="shared" si="12"/>
        <v>0.00539787141044745</v>
      </c>
      <c r="N28" s="87">
        <v>92708.85</v>
      </c>
      <c r="O28" s="87">
        <v>66100</v>
      </c>
      <c r="P28" s="87">
        <v>16358</v>
      </c>
      <c r="Q28" s="87">
        <v>3019</v>
      </c>
      <c r="R28" s="87">
        <v>1364.85</v>
      </c>
      <c r="S28" s="87">
        <v>5867</v>
      </c>
      <c r="T28" s="150">
        <f t="shared" si="13"/>
        <v>26608.85</v>
      </c>
      <c r="U28" s="151">
        <f t="shared" si="3"/>
        <v>0.287015209443327</v>
      </c>
    </row>
    <row r="29" ht="30.75" customHeight="1" spans="1:21">
      <c r="A29" s="11"/>
      <c r="B29" s="29"/>
      <c r="C29" s="11"/>
      <c r="D29" s="30"/>
      <c r="E29" s="11"/>
      <c r="F29" s="9"/>
      <c r="G29" s="9"/>
      <c r="H29" s="31"/>
      <c r="I29" s="92" t="s">
        <v>191</v>
      </c>
      <c r="J29" s="90"/>
      <c r="K29" s="89">
        <f t="shared" si="11"/>
        <v>0</v>
      </c>
      <c r="L29" s="90"/>
      <c r="M29" s="89">
        <f t="shared" si="12"/>
        <v>0</v>
      </c>
      <c r="N29" s="90">
        <v>92708.85</v>
      </c>
      <c r="O29" s="90">
        <v>77256</v>
      </c>
      <c r="P29" s="90">
        <v>11904.85</v>
      </c>
      <c r="Q29" s="90">
        <v>0</v>
      </c>
      <c r="R29" s="90">
        <v>0</v>
      </c>
      <c r="S29" s="90">
        <v>3548</v>
      </c>
      <c r="T29" s="152">
        <f t="shared" si="13"/>
        <v>15452.85</v>
      </c>
      <c r="U29" s="153">
        <f t="shared" si="3"/>
        <v>0.166681498044685</v>
      </c>
    </row>
    <row r="30" ht="29.25" customHeight="1" spans="1:21">
      <c r="A30" s="11"/>
      <c r="B30" s="29"/>
      <c r="C30" s="11"/>
      <c r="D30" s="30"/>
      <c r="E30" s="11" t="s">
        <v>195</v>
      </c>
      <c r="F30" s="9" t="s">
        <v>196</v>
      </c>
      <c r="G30" s="9"/>
      <c r="H30" s="31" t="s">
        <v>197</v>
      </c>
      <c r="I30" s="91" t="s">
        <v>166</v>
      </c>
      <c r="J30" s="87">
        <v>1617</v>
      </c>
      <c r="K30" s="86">
        <f t="shared" si="11"/>
        <v>0.0048098660257478</v>
      </c>
      <c r="L30" s="87">
        <v>10315</v>
      </c>
      <c r="M30" s="86">
        <f t="shared" si="12"/>
        <v>0.00549157151580684</v>
      </c>
      <c r="N30" s="87">
        <v>157531.97</v>
      </c>
      <c r="O30" s="87">
        <v>112505</v>
      </c>
      <c r="P30" s="87">
        <v>31657</v>
      </c>
      <c r="Q30" s="87">
        <v>2249</v>
      </c>
      <c r="R30" s="87">
        <v>1263.97</v>
      </c>
      <c r="S30" s="87">
        <v>9857</v>
      </c>
      <c r="T30" s="150">
        <f t="shared" si="13"/>
        <v>45026.97</v>
      </c>
      <c r="U30" s="151">
        <f t="shared" si="3"/>
        <v>0.28582750536288</v>
      </c>
    </row>
    <row r="31" ht="25.5" customHeight="1" spans="1:21">
      <c r="A31" s="16"/>
      <c r="B31" s="32"/>
      <c r="C31" s="16"/>
      <c r="D31" s="33"/>
      <c r="E31" s="16"/>
      <c r="F31" s="17"/>
      <c r="G31" s="17"/>
      <c r="H31" s="34"/>
      <c r="I31" s="92" t="s">
        <v>191</v>
      </c>
      <c r="J31" s="90"/>
      <c r="K31" s="89">
        <f t="shared" si="11"/>
        <v>0</v>
      </c>
      <c r="L31" s="90"/>
      <c r="M31" s="89">
        <f t="shared" si="12"/>
        <v>0</v>
      </c>
      <c r="N31" s="90">
        <v>163519</v>
      </c>
      <c r="O31" s="90">
        <v>131614</v>
      </c>
      <c r="P31" s="90">
        <v>25046</v>
      </c>
      <c r="Q31" s="90">
        <v>0</v>
      </c>
      <c r="R31" s="90">
        <v>0</v>
      </c>
      <c r="S31" s="90">
        <v>6859</v>
      </c>
      <c r="T31" s="152">
        <f t="shared" si="13"/>
        <v>31905</v>
      </c>
      <c r="U31" s="153">
        <f t="shared" ref="U31:U42" si="14">IFERROR(T31/N31,0)</f>
        <v>0.195114940771409</v>
      </c>
    </row>
    <row r="32" ht="16.35" spans="1:21">
      <c r="A32" s="19"/>
      <c r="B32" s="20"/>
      <c r="C32" s="21"/>
      <c r="D32" s="21"/>
      <c r="E32" s="21"/>
      <c r="F32" s="21"/>
      <c r="G32" s="21"/>
      <c r="H32" s="21"/>
      <c r="I32" s="65"/>
      <c r="J32" s="65"/>
      <c r="K32" s="93"/>
      <c r="L32" s="65"/>
      <c r="M32" s="94"/>
      <c r="N32" s="95">
        <v>436298</v>
      </c>
      <c r="O32" s="96">
        <v>294288</v>
      </c>
      <c r="P32" s="97"/>
      <c r="Q32" s="97"/>
      <c r="R32" s="97"/>
      <c r="S32" s="97"/>
      <c r="T32" s="154">
        <f>N32-O32</f>
        <v>142010</v>
      </c>
      <c r="U32" s="155">
        <f t="shared" si="14"/>
        <v>0.325488542234894</v>
      </c>
    </row>
    <row r="33" ht="15.6" customHeight="1" spans="1:26">
      <c r="A33" s="9">
        <f>A26+1</f>
        <v>12</v>
      </c>
      <c r="B33" s="10" t="s">
        <v>198</v>
      </c>
      <c r="C33" s="11" t="s">
        <v>199</v>
      </c>
      <c r="D33" s="12" t="str">
        <f>C33</f>
        <v>Z6</v>
      </c>
      <c r="E33" s="9" t="s">
        <v>198</v>
      </c>
      <c r="F33" s="9" t="str">
        <f>CONCATENATE($F$2,1)</f>
        <v>S1</v>
      </c>
      <c r="G33" s="18" t="s">
        <v>31</v>
      </c>
      <c r="H33" s="9" t="s">
        <v>200</v>
      </c>
      <c r="I33" s="62" t="s">
        <v>166</v>
      </c>
      <c r="J33" s="48">
        <v>5934</v>
      </c>
      <c r="K33" s="49">
        <f>IFERROR(J33/$W$3,0)</f>
        <v>0.0176510482354901</v>
      </c>
      <c r="L33" s="35">
        <v>32518</v>
      </c>
      <c r="M33" s="98">
        <f>IFERROR(L33/$W$4,0)</f>
        <v>0.01731215923907</v>
      </c>
      <c r="N33" s="99">
        <v>308284.9</v>
      </c>
      <c r="O33" s="100">
        <v>230225</v>
      </c>
      <c r="P33" s="35">
        <v>33158</v>
      </c>
      <c r="Q33" s="35">
        <v>16547</v>
      </c>
      <c r="R33" s="35">
        <v>6805.9</v>
      </c>
      <c r="S33" s="35">
        <v>21549</v>
      </c>
      <c r="T33" s="60">
        <f>SUM(P33:S33)</f>
        <v>78059.9</v>
      </c>
      <c r="U33" s="49">
        <f t="shared" si="14"/>
        <v>0.253207017275254</v>
      </c>
      <c r="Z33" s="1">
        <v>5934</v>
      </c>
    </row>
    <row r="34" ht="15.9" spans="1:26">
      <c r="A34" s="15"/>
      <c r="B34" s="10"/>
      <c r="C34" s="16"/>
      <c r="D34" s="12"/>
      <c r="E34" s="17"/>
      <c r="F34" s="17"/>
      <c r="G34" s="9"/>
      <c r="H34" s="17"/>
      <c r="I34" s="50" t="s">
        <v>169</v>
      </c>
      <c r="J34" s="64">
        <v>6011</v>
      </c>
      <c r="K34" s="49">
        <f t="shared" ref="K34:K44" si="15">IFERROR(J34/$W$3,0)</f>
        <v>0.0178800894748114</v>
      </c>
      <c r="L34" s="101"/>
      <c r="M34" s="102"/>
      <c r="N34" s="103">
        <v>308284.9</v>
      </c>
      <c r="O34" s="104">
        <v>257543</v>
      </c>
      <c r="P34" s="101">
        <v>33111.9</v>
      </c>
      <c r="Q34" s="101">
        <v>0</v>
      </c>
      <c r="R34" s="101">
        <v>0</v>
      </c>
      <c r="S34" s="101">
        <v>17629</v>
      </c>
      <c r="T34" s="61">
        <f t="shared" ref="T34:T44" si="16">SUM(P34:S34)</f>
        <v>50740.9</v>
      </c>
      <c r="U34" s="52">
        <f t="shared" si="14"/>
        <v>0.164590935203119</v>
      </c>
      <c r="Z34" s="1">
        <v>1628</v>
      </c>
    </row>
    <row r="35" ht="15.6" customHeight="1" spans="1:26">
      <c r="A35" s="9">
        <f>A33+1</f>
        <v>13</v>
      </c>
      <c r="B35" s="10"/>
      <c r="C35" s="11" t="s">
        <v>199</v>
      </c>
      <c r="D35" s="12"/>
      <c r="E35" s="18" t="s">
        <v>201</v>
      </c>
      <c r="F35" s="18" t="str">
        <f t="shared" ref="F35" si="17">CONCATENATE($F$2,2)</f>
        <v>S2</v>
      </c>
      <c r="G35" s="9"/>
      <c r="H35" s="9" t="s">
        <v>202</v>
      </c>
      <c r="I35" s="105" t="s">
        <v>166</v>
      </c>
      <c r="J35" s="106">
        <v>1628</v>
      </c>
      <c r="K35" s="107">
        <f t="shared" si="15"/>
        <v>0.00484258620279371</v>
      </c>
      <c r="L35" s="35">
        <v>8259</v>
      </c>
      <c r="M35" s="108">
        <f t="shared" ref="M35" si="18">IFERROR(L35/$W$4,0)</f>
        <v>0.00439698392138135</v>
      </c>
      <c r="N35" s="48">
        <v>91380</v>
      </c>
      <c r="O35" s="55">
        <v>60936</v>
      </c>
      <c r="P35" s="109">
        <v>14682</v>
      </c>
      <c r="Q35" s="109">
        <v>3489</v>
      </c>
      <c r="R35" s="109">
        <v>2615</v>
      </c>
      <c r="S35" s="109">
        <v>9658</v>
      </c>
      <c r="T35" s="60">
        <f t="shared" si="16"/>
        <v>30444</v>
      </c>
      <c r="U35" s="56">
        <f t="shared" si="14"/>
        <v>0.333158240315167</v>
      </c>
      <c r="Z35" s="1">
        <v>4444</v>
      </c>
    </row>
    <row r="36" ht="15.9" spans="1:26">
      <c r="A36" s="15"/>
      <c r="B36" s="10"/>
      <c r="C36" s="16"/>
      <c r="D36" s="12"/>
      <c r="E36" s="17"/>
      <c r="F36" s="17"/>
      <c r="G36" s="9"/>
      <c r="H36" s="17"/>
      <c r="I36" s="110" t="s">
        <v>169</v>
      </c>
      <c r="J36" s="111"/>
      <c r="K36" s="107">
        <f t="shared" si="15"/>
        <v>0</v>
      </c>
      <c r="L36" s="101"/>
      <c r="M36" s="49"/>
      <c r="N36" s="53">
        <v>91000</v>
      </c>
      <c r="O36" s="53">
        <v>69936</v>
      </c>
      <c r="P36" s="101">
        <v>14607</v>
      </c>
      <c r="Q36" s="101">
        <v>0</v>
      </c>
      <c r="R36" s="101">
        <v>0</v>
      </c>
      <c r="S36" s="101">
        <v>6457</v>
      </c>
      <c r="T36" s="61">
        <f t="shared" si="16"/>
        <v>21064</v>
      </c>
      <c r="U36" s="52">
        <f t="shared" si="14"/>
        <v>0.231472527472527</v>
      </c>
      <c r="Z36" s="1">
        <v>1068</v>
      </c>
    </row>
    <row r="37" ht="15.6" customHeight="1" spans="1:26">
      <c r="A37" s="9">
        <f t="shared" ref="A37" si="19">A35+1</f>
        <v>14</v>
      </c>
      <c r="B37" s="10"/>
      <c r="C37" s="11" t="s">
        <v>199</v>
      </c>
      <c r="D37" s="12"/>
      <c r="E37" s="18" t="s">
        <v>203</v>
      </c>
      <c r="F37" s="9" t="str">
        <f>CONCATENATE($F$2,3)</f>
        <v>S3</v>
      </c>
      <c r="G37" s="9"/>
      <c r="H37" s="9" t="s">
        <v>204</v>
      </c>
      <c r="I37" s="105" t="s">
        <v>166</v>
      </c>
      <c r="J37" s="99">
        <v>4444</v>
      </c>
      <c r="K37" s="107">
        <f t="shared" si="15"/>
        <v>0.013218951526545</v>
      </c>
      <c r="L37" s="35">
        <v>23235</v>
      </c>
      <c r="M37" s="108">
        <f t="shared" ref="M37" si="20">IFERROR(L37/$W$4,0)</f>
        <v>0.0123700110683249</v>
      </c>
      <c r="N37" s="109">
        <v>149010</v>
      </c>
      <c r="O37" s="55">
        <v>102960</v>
      </c>
      <c r="P37" s="109">
        <v>22657</v>
      </c>
      <c r="Q37" s="109">
        <v>5624</v>
      </c>
      <c r="R37" s="109">
        <v>2532</v>
      </c>
      <c r="S37" s="109">
        <v>15237</v>
      </c>
      <c r="T37" s="60">
        <f t="shared" si="16"/>
        <v>46050</v>
      </c>
      <c r="U37" s="56">
        <f t="shared" si="14"/>
        <v>0.309039661767667</v>
      </c>
      <c r="Z37" s="1">
        <v>1125</v>
      </c>
    </row>
    <row r="38" ht="15.9" spans="1:26">
      <c r="A38" s="15"/>
      <c r="B38" s="10"/>
      <c r="C38" s="16"/>
      <c r="D38" s="12"/>
      <c r="E38" s="17"/>
      <c r="F38" s="17"/>
      <c r="G38" s="9"/>
      <c r="H38" s="17"/>
      <c r="I38" s="110" t="s">
        <v>169</v>
      </c>
      <c r="J38" s="103"/>
      <c r="K38" s="107">
        <f t="shared" si="15"/>
        <v>0</v>
      </c>
      <c r="L38" s="101"/>
      <c r="M38" s="49"/>
      <c r="N38" s="109">
        <v>149010</v>
      </c>
      <c r="O38" s="53">
        <v>115959</v>
      </c>
      <c r="P38" s="101">
        <v>21426</v>
      </c>
      <c r="Q38" s="101">
        <v>0</v>
      </c>
      <c r="R38" s="101">
        <v>0</v>
      </c>
      <c r="S38" s="101">
        <v>11625</v>
      </c>
      <c r="T38" s="61">
        <f t="shared" si="16"/>
        <v>33051</v>
      </c>
      <c r="U38" s="52">
        <f t="shared" si="14"/>
        <v>0.221803905778136</v>
      </c>
      <c r="Z38" s="1">
        <v>1116</v>
      </c>
    </row>
    <row r="39" ht="15.6" customHeight="1" spans="1:21">
      <c r="A39" s="9">
        <f t="shared" ref="A39" si="21">A37+1</f>
        <v>15</v>
      </c>
      <c r="B39" s="10"/>
      <c r="C39" s="11" t="s">
        <v>199</v>
      </c>
      <c r="D39" s="12"/>
      <c r="E39" s="18" t="s">
        <v>205</v>
      </c>
      <c r="F39" s="18" t="str">
        <f>CONCATENATE($F$2,4)</f>
        <v>S4</v>
      </c>
      <c r="G39" s="9"/>
      <c r="H39" s="9" t="s">
        <v>206</v>
      </c>
      <c r="I39" s="62" t="s">
        <v>166</v>
      </c>
      <c r="J39" s="48">
        <v>1068</v>
      </c>
      <c r="K39" s="49">
        <f t="shared" si="15"/>
        <v>0.00317683173500226</v>
      </c>
      <c r="L39" s="35">
        <v>8923</v>
      </c>
      <c r="M39" s="108">
        <f t="shared" ref="M39" si="22">IFERROR(L39/$W$4,0)</f>
        <v>0.0047504888643281</v>
      </c>
      <c r="N39" s="55">
        <v>104651</v>
      </c>
      <c r="O39" s="55">
        <v>72210</v>
      </c>
      <c r="P39" s="109">
        <v>15027</v>
      </c>
      <c r="Q39" s="109">
        <v>4358</v>
      </c>
      <c r="R39" s="109">
        <v>2099</v>
      </c>
      <c r="S39" s="109">
        <v>10957</v>
      </c>
      <c r="T39" s="60">
        <f t="shared" si="16"/>
        <v>32441</v>
      </c>
      <c r="U39" s="56">
        <f t="shared" si="14"/>
        <v>0.30999225998796</v>
      </c>
    </row>
    <row r="40" ht="15.9" spans="1:21">
      <c r="A40" s="15"/>
      <c r="B40" s="10"/>
      <c r="C40" s="16"/>
      <c r="D40" s="12"/>
      <c r="E40" s="17"/>
      <c r="F40" s="17"/>
      <c r="G40" s="9"/>
      <c r="H40" s="17"/>
      <c r="I40" s="47" t="s">
        <v>169</v>
      </c>
      <c r="J40" s="53">
        <v>1122</v>
      </c>
      <c r="K40" s="49">
        <f t="shared" si="15"/>
        <v>0.00333745805868215</v>
      </c>
      <c r="L40" s="101"/>
      <c r="M40" s="49"/>
      <c r="N40" s="64">
        <v>108651</v>
      </c>
      <c r="O40" s="53">
        <v>85425</v>
      </c>
      <c r="P40" s="101">
        <v>13596</v>
      </c>
      <c r="Q40" s="101">
        <v>0</v>
      </c>
      <c r="R40" s="101">
        <v>0</v>
      </c>
      <c r="S40" s="101">
        <v>9630</v>
      </c>
      <c r="T40" s="61">
        <f t="shared" si="16"/>
        <v>23226</v>
      </c>
      <c r="U40" s="52">
        <f t="shared" si="14"/>
        <v>0.213767015489963</v>
      </c>
    </row>
    <row r="41" ht="15.9" spans="1:21">
      <c r="A41" s="9"/>
      <c r="B41" s="10"/>
      <c r="C41" s="11" t="s">
        <v>199</v>
      </c>
      <c r="D41" s="12"/>
      <c r="E41" s="18" t="s">
        <v>207</v>
      </c>
      <c r="F41" s="35" t="s">
        <v>208</v>
      </c>
      <c r="G41" s="9"/>
      <c r="H41" s="9" t="s">
        <v>209</v>
      </c>
      <c r="I41" s="62" t="s">
        <v>166</v>
      </c>
      <c r="J41" s="112">
        <v>1116</v>
      </c>
      <c r="K41" s="113">
        <f t="shared" si="15"/>
        <v>0.00331961068938438</v>
      </c>
      <c r="L41" s="114">
        <v>8527</v>
      </c>
      <c r="M41" s="115">
        <f t="shared" ref="M41" si="23">IFERROR(L41/$W$4,0)</f>
        <v>0.0045396636272695</v>
      </c>
      <c r="N41" s="116">
        <v>75015.72</v>
      </c>
      <c r="O41" s="117">
        <v>55035</v>
      </c>
      <c r="P41" s="114">
        <v>8957</v>
      </c>
      <c r="Q41" s="114">
        <v>3079</v>
      </c>
      <c r="R41" s="114">
        <v>1835.29</v>
      </c>
      <c r="S41" s="114">
        <v>6109</v>
      </c>
      <c r="T41" s="156">
        <f t="shared" si="16"/>
        <v>19980.29</v>
      </c>
      <c r="U41" s="157">
        <f t="shared" si="14"/>
        <v>0.266348040117458</v>
      </c>
    </row>
    <row r="42" ht="15.9" spans="1:21">
      <c r="A42" s="9"/>
      <c r="B42" s="10"/>
      <c r="C42" s="16"/>
      <c r="D42" s="12"/>
      <c r="E42" s="17"/>
      <c r="F42" s="31"/>
      <c r="G42" s="9"/>
      <c r="H42" s="17"/>
      <c r="I42" s="47" t="s">
        <v>169</v>
      </c>
      <c r="J42" s="118">
        <v>1125</v>
      </c>
      <c r="K42" s="113">
        <f t="shared" si="15"/>
        <v>0.00334638174333103</v>
      </c>
      <c r="L42" s="119"/>
      <c r="M42" s="120"/>
      <c r="N42" s="116">
        <v>75015.72</v>
      </c>
      <c r="O42" s="121">
        <v>61533</v>
      </c>
      <c r="P42" s="122">
        <v>8797.72</v>
      </c>
      <c r="Q42" s="122">
        <v>0</v>
      </c>
      <c r="R42" s="122">
        <v>0</v>
      </c>
      <c r="S42" s="122">
        <v>4685</v>
      </c>
      <c r="T42" s="156">
        <f t="shared" si="16"/>
        <v>13482.72</v>
      </c>
      <c r="U42" s="157">
        <f t="shared" si="14"/>
        <v>0.179731928187852</v>
      </c>
    </row>
    <row r="43" ht="15.6" customHeight="1" spans="1:21">
      <c r="A43" s="9">
        <f t="shared" ref="A43" si="24">A39+1</f>
        <v>16</v>
      </c>
      <c r="B43" s="10"/>
      <c r="C43" s="11" t="s">
        <v>199</v>
      </c>
      <c r="D43" s="12"/>
      <c r="E43" s="9" t="s">
        <v>210</v>
      </c>
      <c r="F43" s="9" t="str">
        <f>CONCATENATE($F$2,6)</f>
        <v>S6</v>
      </c>
      <c r="G43" s="9"/>
      <c r="H43" s="9" t="s">
        <v>211</v>
      </c>
      <c r="I43" s="123" t="s">
        <v>166</v>
      </c>
      <c r="J43" s="106">
        <v>2744</v>
      </c>
      <c r="K43" s="124">
        <f t="shared" si="15"/>
        <v>0.00816219689217809</v>
      </c>
      <c r="L43" s="106">
        <v>11996</v>
      </c>
      <c r="M43" s="108">
        <f t="shared" ref="M43" si="25">IFERROR(L43/$W$4,0)</f>
        <v>0.00638651399938137</v>
      </c>
      <c r="N43" s="48">
        <v>67214</v>
      </c>
      <c r="O43" s="55">
        <v>44470</v>
      </c>
      <c r="P43" s="109">
        <v>10236</v>
      </c>
      <c r="Q43" s="109">
        <v>3357</v>
      </c>
      <c r="R43" s="109">
        <v>1905</v>
      </c>
      <c r="S43" s="109">
        <v>7246</v>
      </c>
      <c r="T43" s="60">
        <f t="shared" si="16"/>
        <v>22744</v>
      </c>
      <c r="U43" s="49">
        <f t="shared" ref="U43:U58" si="26">IFERROR(T43/N43,0)</f>
        <v>0.338381884726396</v>
      </c>
    </row>
    <row r="44" ht="15.9" spans="1:21">
      <c r="A44" s="15"/>
      <c r="B44" s="10"/>
      <c r="C44" s="16"/>
      <c r="D44" s="12"/>
      <c r="E44" s="9"/>
      <c r="F44" s="9"/>
      <c r="G44" s="17"/>
      <c r="H44" s="17"/>
      <c r="I44" s="125" t="s">
        <v>169</v>
      </c>
      <c r="J44" s="111"/>
      <c r="K44" s="124">
        <f t="shared" si="15"/>
        <v>0</v>
      </c>
      <c r="L44" s="111"/>
      <c r="M44" s="49"/>
      <c r="N44" s="64">
        <v>62000</v>
      </c>
      <c r="O44" s="64">
        <v>47912</v>
      </c>
      <c r="P44" s="101">
        <v>9719</v>
      </c>
      <c r="Q44" s="101">
        <v>0</v>
      </c>
      <c r="R44" s="101">
        <v>0</v>
      </c>
      <c r="S44" s="101">
        <v>4369</v>
      </c>
      <c r="T44" s="61">
        <f t="shared" si="16"/>
        <v>14088</v>
      </c>
      <c r="U44" s="78">
        <f t="shared" si="26"/>
        <v>0.227225806451613</v>
      </c>
    </row>
    <row r="45" ht="17.1" spans="1:21">
      <c r="A45" s="19"/>
      <c r="B45" s="20"/>
      <c r="C45" s="21"/>
      <c r="D45" s="21"/>
      <c r="E45" s="21"/>
      <c r="F45" s="21"/>
      <c r="G45" s="21"/>
      <c r="H45" s="21"/>
      <c r="I45" s="21"/>
      <c r="J45" s="21"/>
      <c r="K45" s="66"/>
      <c r="L45" s="21"/>
      <c r="M45" s="67"/>
      <c r="N45" s="68">
        <v>776621</v>
      </c>
      <c r="O45" s="69">
        <v>565836</v>
      </c>
      <c r="P45" s="70"/>
      <c r="Q45" s="70"/>
      <c r="R45" s="70"/>
      <c r="S45" s="70"/>
      <c r="T45" s="144">
        <f>N45-O45</f>
        <v>210785</v>
      </c>
      <c r="U45" s="158">
        <f t="shared" si="26"/>
        <v>0.271412954323924</v>
      </c>
    </row>
    <row r="46" ht="15.6" customHeight="1" spans="1:21">
      <c r="A46" s="9">
        <f>A43+1</f>
        <v>17</v>
      </c>
      <c r="B46" s="36" t="s">
        <v>212</v>
      </c>
      <c r="C46" s="11" t="str">
        <f>CONCATENATE($C$2,3)</f>
        <v>Z3</v>
      </c>
      <c r="D46" s="9" t="s">
        <v>58</v>
      </c>
      <c r="E46" s="9" t="s">
        <v>213</v>
      </c>
      <c r="F46" s="9" t="str">
        <f>CONCATENATE($F$2,1)</f>
        <v>S1</v>
      </c>
      <c r="G46" s="9"/>
      <c r="H46" s="18" t="s">
        <v>214</v>
      </c>
      <c r="I46" s="62" t="s">
        <v>166</v>
      </c>
      <c r="J46" s="48"/>
      <c r="K46" s="49">
        <f t="shared" ref="K46:K57" si="27">IFERROR(J46/$W$3,0)</f>
        <v>0</v>
      </c>
      <c r="L46" s="48"/>
      <c r="M46" s="49">
        <f>IFERROR(L46/$W$4,0)</f>
        <v>0</v>
      </c>
      <c r="N46" s="48"/>
      <c r="O46" s="48"/>
      <c r="P46" s="48"/>
      <c r="Q46" s="48"/>
      <c r="R46" s="48"/>
      <c r="S46" s="48"/>
      <c r="T46" s="138">
        <f t="shared" ref="T46:T57" si="28">SUM(P46:S46)</f>
        <v>0</v>
      </c>
      <c r="U46" s="49">
        <f t="shared" si="26"/>
        <v>0</v>
      </c>
    </row>
    <row r="47" ht="15.9" spans="1:21">
      <c r="A47" s="15"/>
      <c r="B47" s="36"/>
      <c r="C47" s="16"/>
      <c r="D47" s="9"/>
      <c r="E47" s="17"/>
      <c r="F47" s="17"/>
      <c r="G47" s="17"/>
      <c r="H47" s="17"/>
      <c r="I47" s="50" t="s">
        <v>169</v>
      </c>
      <c r="J47" s="53"/>
      <c r="K47" s="52">
        <f t="shared" si="27"/>
        <v>0</v>
      </c>
      <c r="L47" s="53"/>
      <c r="M47" s="52">
        <f>IFERROR(L47/$W$4,0)</f>
        <v>0</v>
      </c>
      <c r="N47" s="53"/>
      <c r="O47" s="53"/>
      <c r="P47" s="53"/>
      <c r="Q47" s="53"/>
      <c r="R47" s="53"/>
      <c r="S47" s="53"/>
      <c r="T47" s="61">
        <f t="shared" si="28"/>
        <v>0</v>
      </c>
      <c r="U47" s="52">
        <f t="shared" si="26"/>
        <v>0</v>
      </c>
    </row>
    <row r="48" ht="15.6" customHeight="1" spans="1:21">
      <c r="A48" s="37">
        <f>A46+1</f>
        <v>18</v>
      </c>
      <c r="B48" s="36"/>
      <c r="C48" s="11" t="str">
        <f t="shared" ref="C48" si="29">CONCATENATE($C$2,3)</f>
        <v>Z3</v>
      </c>
      <c r="D48" s="9"/>
      <c r="E48" s="18" t="s">
        <v>215</v>
      </c>
      <c r="F48" s="18" t="str">
        <f t="shared" ref="F48" si="30">CONCATENATE($F$2,2)</f>
        <v>S2</v>
      </c>
      <c r="G48" s="18"/>
      <c r="H48" s="18" t="s">
        <v>216</v>
      </c>
      <c r="I48" s="54" t="s">
        <v>166</v>
      </c>
      <c r="J48" s="55"/>
      <c r="K48" s="56">
        <f t="shared" si="27"/>
        <v>0</v>
      </c>
      <c r="L48" s="55"/>
      <c r="M48" s="56">
        <f t="shared" ref="M48:M55" si="31">IFERROR(L48/$W$4,0)</f>
        <v>0</v>
      </c>
      <c r="N48" s="55"/>
      <c r="O48" s="55"/>
      <c r="P48" s="55"/>
      <c r="Q48" s="55"/>
      <c r="R48" s="55"/>
      <c r="S48" s="55"/>
      <c r="T48" s="60">
        <f t="shared" si="28"/>
        <v>0</v>
      </c>
      <c r="U48" s="56">
        <f t="shared" si="26"/>
        <v>0</v>
      </c>
    </row>
    <row r="49" ht="15.9" spans="1:21">
      <c r="A49" s="15"/>
      <c r="B49" s="36"/>
      <c r="C49" s="16"/>
      <c r="D49" s="9"/>
      <c r="E49" s="17"/>
      <c r="F49" s="17"/>
      <c r="G49" s="17"/>
      <c r="H49" s="17"/>
      <c r="I49" s="50" t="s">
        <v>169</v>
      </c>
      <c r="J49" s="53"/>
      <c r="K49" s="52">
        <f t="shared" si="27"/>
        <v>0</v>
      </c>
      <c r="L49" s="53"/>
      <c r="M49" s="52">
        <f t="shared" si="31"/>
        <v>0</v>
      </c>
      <c r="N49" s="53"/>
      <c r="O49" s="53"/>
      <c r="P49" s="53"/>
      <c r="Q49" s="53"/>
      <c r="R49" s="53"/>
      <c r="S49" s="53"/>
      <c r="T49" s="61">
        <f t="shared" si="28"/>
        <v>0</v>
      </c>
      <c r="U49" s="52">
        <f t="shared" si="26"/>
        <v>0</v>
      </c>
    </row>
    <row r="50" ht="15.6" customHeight="1" spans="1:21">
      <c r="A50" s="37">
        <f>A48+1</f>
        <v>19</v>
      </c>
      <c r="B50" s="36"/>
      <c r="C50" s="11" t="str">
        <f t="shared" ref="C50" si="32">CONCATENATE($C$2,3)</f>
        <v>Z3</v>
      </c>
      <c r="D50" s="9"/>
      <c r="E50" s="18" t="s">
        <v>217</v>
      </c>
      <c r="F50" s="18" t="str">
        <f>CONCATENATE($F$2,3)</f>
        <v>S3</v>
      </c>
      <c r="G50" s="18"/>
      <c r="H50" s="18" t="s">
        <v>218</v>
      </c>
      <c r="I50" s="54" t="s">
        <v>166</v>
      </c>
      <c r="J50" s="55"/>
      <c r="K50" s="56">
        <f t="shared" si="27"/>
        <v>0</v>
      </c>
      <c r="L50" s="55"/>
      <c r="M50" s="56">
        <f t="shared" si="31"/>
        <v>0</v>
      </c>
      <c r="N50" s="55"/>
      <c r="O50" s="55"/>
      <c r="P50" s="55"/>
      <c r="Q50" s="55"/>
      <c r="R50" s="55"/>
      <c r="S50" s="55"/>
      <c r="T50" s="60">
        <f t="shared" si="28"/>
        <v>0</v>
      </c>
      <c r="U50" s="56">
        <f t="shared" si="26"/>
        <v>0</v>
      </c>
    </row>
    <row r="51" ht="15.9" spans="1:21">
      <c r="A51" s="15"/>
      <c r="B51" s="36"/>
      <c r="C51" s="16"/>
      <c r="D51" s="9"/>
      <c r="E51" s="17"/>
      <c r="F51" s="17"/>
      <c r="G51" s="17"/>
      <c r="H51" s="17"/>
      <c r="I51" s="50" t="s">
        <v>169</v>
      </c>
      <c r="J51" s="53"/>
      <c r="K51" s="52">
        <f t="shared" si="27"/>
        <v>0</v>
      </c>
      <c r="L51" s="53"/>
      <c r="M51" s="52">
        <f t="shared" si="31"/>
        <v>0</v>
      </c>
      <c r="N51" s="53"/>
      <c r="O51" s="53"/>
      <c r="P51" s="53"/>
      <c r="Q51" s="53"/>
      <c r="R51" s="53"/>
      <c r="S51" s="53"/>
      <c r="T51" s="61">
        <f t="shared" si="28"/>
        <v>0</v>
      </c>
      <c r="U51" s="52">
        <f t="shared" si="26"/>
        <v>0</v>
      </c>
    </row>
    <row r="52" ht="15.6" customHeight="1" spans="1:21">
      <c r="A52" s="37">
        <f>A50+1</f>
        <v>20</v>
      </c>
      <c r="B52" s="36"/>
      <c r="C52" s="11" t="str">
        <f t="shared" ref="C52" si="33">CONCATENATE($C$2,3)</f>
        <v>Z3</v>
      </c>
      <c r="D52" s="9"/>
      <c r="E52" s="18" t="s">
        <v>219</v>
      </c>
      <c r="F52" s="18" t="str">
        <f>CONCATENATE($F$2,4)</f>
        <v>S4</v>
      </c>
      <c r="G52" s="18"/>
      <c r="H52" s="18" t="s">
        <v>220</v>
      </c>
      <c r="I52" s="62" t="s">
        <v>166</v>
      </c>
      <c r="J52" s="55"/>
      <c r="K52" s="56">
        <f t="shared" si="27"/>
        <v>0</v>
      </c>
      <c r="L52" s="55"/>
      <c r="M52" s="56">
        <f t="shared" si="31"/>
        <v>0</v>
      </c>
      <c r="N52" s="55"/>
      <c r="O52" s="55"/>
      <c r="P52" s="55"/>
      <c r="Q52" s="55"/>
      <c r="R52" s="55"/>
      <c r="S52" s="55"/>
      <c r="T52" s="60">
        <f t="shared" si="28"/>
        <v>0</v>
      </c>
      <c r="U52" s="56">
        <f t="shared" si="26"/>
        <v>0</v>
      </c>
    </row>
    <row r="53" ht="15.9" spans="1:21">
      <c r="A53" s="15"/>
      <c r="B53" s="36"/>
      <c r="C53" s="16"/>
      <c r="D53" s="9"/>
      <c r="E53" s="17"/>
      <c r="F53" s="17"/>
      <c r="G53" s="17"/>
      <c r="H53" s="17"/>
      <c r="I53" s="47" t="s">
        <v>169</v>
      </c>
      <c r="J53" s="53"/>
      <c r="K53" s="52">
        <f t="shared" si="27"/>
        <v>0</v>
      </c>
      <c r="L53" s="53"/>
      <c r="M53" s="52">
        <f t="shared" si="31"/>
        <v>0</v>
      </c>
      <c r="N53" s="53"/>
      <c r="O53" s="53"/>
      <c r="P53" s="53"/>
      <c r="Q53" s="53"/>
      <c r="R53" s="53"/>
      <c r="S53" s="53"/>
      <c r="T53" s="61">
        <f t="shared" si="28"/>
        <v>0</v>
      </c>
      <c r="U53" s="52">
        <f t="shared" si="26"/>
        <v>0</v>
      </c>
    </row>
    <row r="54" ht="15.6" customHeight="1" spans="1:21">
      <c r="A54" s="37">
        <f>A52+1</f>
        <v>21</v>
      </c>
      <c r="B54" s="36"/>
      <c r="C54" s="11" t="str">
        <f t="shared" ref="C54" si="34">CONCATENATE($C$2,3)</f>
        <v>Z3</v>
      </c>
      <c r="D54" s="9"/>
      <c r="E54" s="18" t="s">
        <v>221</v>
      </c>
      <c r="F54" s="18" t="str">
        <f>CONCATENATE($F$2,5)</f>
        <v>S5</v>
      </c>
      <c r="G54" s="18"/>
      <c r="H54" s="18" t="s">
        <v>222</v>
      </c>
      <c r="I54" s="47" t="s">
        <v>166</v>
      </c>
      <c r="J54" s="55"/>
      <c r="K54" s="56">
        <f t="shared" si="27"/>
        <v>0</v>
      </c>
      <c r="L54" s="55"/>
      <c r="M54" s="56">
        <f t="shared" si="31"/>
        <v>0</v>
      </c>
      <c r="N54" s="55"/>
      <c r="O54" s="55"/>
      <c r="P54" s="55"/>
      <c r="Q54" s="55"/>
      <c r="R54" s="55"/>
      <c r="S54" s="55"/>
      <c r="T54" s="60">
        <f t="shared" si="28"/>
        <v>0</v>
      </c>
      <c r="U54" s="56">
        <f t="shared" si="26"/>
        <v>0</v>
      </c>
    </row>
    <row r="55" ht="15.9" spans="1:21">
      <c r="A55" s="15"/>
      <c r="B55" s="36"/>
      <c r="C55" s="16"/>
      <c r="D55" s="9"/>
      <c r="E55" s="17"/>
      <c r="F55" s="17"/>
      <c r="G55" s="17"/>
      <c r="H55" s="17"/>
      <c r="I55" s="57" t="s">
        <v>169</v>
      </c>
      <c r="J55" s="53"/>
      <c r="K55" s="52">
        <f t="shared" si="27"/>
        <v>0</v>
      </c>
      <c r="L55" s="53"/>
      <c r="M55" s="52">
        <f t="shared" si="31"/>
        <v>0</v>
      </c>
      <c r="N55" s="53"/>
      <c r="O55" s="53"/>
      <c r="P55" s="53"/>
      <c r="Q55" s="53"/>
      <c r="R55" s="53"/>
      <c r="S55" s="53"/>
      <c r="T55" s="61">
        <f t="shared" si="28"/>
        <v>0</v>
      </c>
      <c r="U55" s="52">
        <f t="shared" si="26"/>
        <v>0</v>
      </c>
    </row>
    <row r="56" ht="15.6" customHeight="1" spans="1:21">
      <c r="A56" s="37">
        <f>A54+1</f>
        <v>22</v>
      </c>
      <c r="B56" s="36"/>
      <c r="C56" s="11" t="str">
        <f t="shared" ref="C56" si="35">CONCATENATE($C$2,3)</f>
        <v>Z3</v>
      </c>
      <c r="D56" s="9"/>
      <c r="E56" s="18" t="s">
        <v>223</v>
      </c>
      <c r="F56" s="18" t="str">
        <f>CONCATENATE($F$2,6)</f>
        <v>S6</v>
      </c>
      <c r="G56" s="18"/>
      <c r="H56" s="18" t="s">
        <v>224</v>
      </c>
      <c r="I56" s="62" t="s">
        <v>166</v>
      </c>
      <c r="J56" s="55"/>
      <c r="K56" s="56">
        <f t="shared" si="27"/>
        <v>0</v>
      </c>
      <c r="L56" s="55"/>
      <c r="M56" s="56">
        <f t="shared" ref="M56:M57" si="36">IFERROR(L56/$W$4,0)</f>
        <v>0</v>
      </c>
      <c r="N56" s="55"/>
      <c r="O56" s="55"/>
      <c r="P56" s="55"/>
      <c r="Q56" s="55"/>
      <c r="R56" s="55"/>
      <c r="S56" s="55"/>
      <c r="T56" s="138">
        <f t="shared" si="28"/>
        <v>0</v>
      </c>
      <c r="U56" s="56">
        <f t="shared" si="26"/>
        <v>0</v>
      </c>
    </row>
    <row r="57" ht="15.9" spans="1:21">
      <c r="A57" s="9"/>
      <c r="B57" s="36"/>
      <c r="C57" s="16"/>
      <c r="D57" s="9"/>
      <c r="E57" s="9"/>
      <c r="F57" s="9"/>
      <c r="G57" s="9"/>
      <c r="H57" s="17"/>
      <c r="I57" s="126" t="s">
        <v>169</v>
      </c>
      <c r="J57" s="64"/>
      <c r="K57" s="78">
        <f t="shared" si="27"/>
        <v>0</v>
      </c>
      <c r="L57" s="64"/>
      <c r="M57" s="78">
        <f t="shared" si="36"/>
        <v>0</v>
      </c>
      <c r="N57" s="64"/>
      <c r="O57" s="64"/>
      <c r="P57" s="64"/>
      <c r="Q57" s="64"/>
      <c r="R57" s="64"/>
      <c r="S57" s="64"/>
      <c r="T57" s="61">
        <f t="shared" si="28"/>
        <v>0</v>
      </c>
      <c r="U57" s="78">
        <f t="shared" si="26"/>
        <v>0</v>
      </c>
    </row>
    <row r="58" ht="16.35" spans="1:21">
      <c r="A58" s="19"/>
      <c r="B58" s="20"/>
      <c r="C58" s="21"/>
      <c r="D58" s="21"/>
      <c r="E58" s="21"/>
      <c r="F58" s="21"/>
      <c r="G58" s="21"/>
      <c r="H58" s="21"/>
      <c r="I58" s="21"/>
      <c r="J58" s="21"/>
      <c r="K58" s="66"/>
      <c r="L58" s="21"/>
      <c r="M58" s="67"/>
      <c r="N58" s="68">
        <f>SUM(N46,N48,N50,N52,N54,N56)-SUM(N47,N49,N51,N53,N55,N57)</f>
        <v>0</v>
      </c>
      <c r="O58" s="69"/>
      <c r="P58" s="70"/>
      <c r="Q58" s="70"/>
      <c r="R58" s="70"/>
      <c r="S58" s="159"/>
      <c r="T58" s="144">
        <f>SUM(T46,T48,T50,T52,T54,T56)-SUM(T47,T49,T51,T53,T55,T57)</f>
        <v>0</v>
      </c>
      <c r="U58" s="158">
        <f t="shared" si="26"/>
        <v>0</v>
      </c>
    </row>
    <row r="59" ht="15.6" spans="1:21">
      <c r="A59" s="38"/>
      <c r="C59" s="38"/>
      <c r="D59" s="38"/>
      <c r="E59" s="38"/>
      <c r="F59" s="38"/>
      <c r="G59" s="38"/>
      <c r="H59" s="38"/>
      <c r="I59" s="38"/>
      <c r="J59" s="38"/>
      <c r="K59" s="127"/>
      <c r="L59" s="38"/>
      <c r="M59" s="127"/>
      <c r="O59" s="38"/>
      <c r="P59" s="38"/>
      <c r="Q59" s="38"/>
      <c r="R59" s="38"/>
      <c r="S59" s="38"/>
      <c r="U59" s="128"/>
    </row>
    <row r="60" ht="15.6" spans="1:13">
      <c r="A60" s="38"/>
      <c r="C60" s="38"/>
      <c r="D60" s="38"/>
      <c r="F60" s="38"/>
      <c r="G60" s="38"/>
      <c r="H60" s="38"/>
      <c r="I60" s="38"/>
      <c r="J60" s="38"/>
      <c r="K60" s="1"/>
      <c r="L60" s="128"/>
      <c r="M60" s="1"/>
    </row>
    <row r="61" spans="2:13">
      <c r="B61" s="10"/>
      <c r="K61" s="1"/>
      <c r="M61" s="1"/>
    </row>
    <row r="62" spans="2:13">
      <c r="B62" s="10"/>
      <c r="K62" s="1"/>
      <c r="M62" s="1"/>
    </row>
    <row r="63" spans="2:13">
      <c r="B63" s="10"/>
      <c r="K63" s="1"/>
      <c r="M63" s="1"/>
    </row>
    <row r="64" spans="11:13">
      <c r="K64" s="1"/>
      <c r="M64" s="1"/>
    </row>
    <row r="65" spans="11:13">
      <c r="K65" s="1"/>
      <c r="M65" s="1"/>
    </row>
    <row r="66" spans="11:13">
      <c r="K66" s="1"/>
      <c r="M66" s="1"/>
    </row>
    <row r="67" spans="11:13">
      <c r="K67" s="1"/>
      <c r="M67" s="1"/>
    </row>
    <row r="68" spans="11:13">
      <c r="K68" s="1"/>
      <c r="M68" s="1"/>
    </row>
    <row r="69" spans="5:13">
      <c r="E69" s="167"/>
      <c r="K69" s="1"/>
      <c r="M69" s="1"/>
    </row>
    <row r="70" spans="5:13">
      <c r="E70" s="167"/>
      <c r="K70" s="1"/>
      <c r="M70" s="1"/>
    </row>
    <row r="71" spans="13:14">
      <c r="M71" s="167"/>
      <c r="N71" s="167"/>
    </row>
    <row r="72" spans="13:14">
      <c r="M72" s="167"/>
      <c r="N72" s="167"/>
    </row>
    <row r="73" spans="13:14">
      <c r="M73" s="167"/>
      <c r="N73" s="167"/>
    </row>
    <row r="74" spans="13:14">
      <c r="M74" s="167"/>
      <c r="N74" s="167"/>
    </row>
    <row r="75" spans="2:13">
      <c r="B75" s="10"/>
      <c r="M75" s="167"/>
    </row>
    <row r="76" spans="2:13">
      <c r="B76" s="10"/>
      <c r="M76" s="167"/>
    </row>
    <row r="77" spans="2:13">
      <c r="B77" s="10"/>
      <c r="M77" s="167"/>
    </row>
    <row r="78" spans="2:2">
      <c r="B78" s="10"/>
    </row>
    <row r="79" spans="2:2">
      <c r="B79" s="10"/>
    </row>
    <row r="80" spans="2:2">
      <c r="B80" s="10"/>
    </row>
    <row r="81" spans="2:2">
      <c r="B81" s="10"/>
    </row>
    <row r="82" spans="2:2">
      <c r="B82" s="10"/>
    </row>
    <row r="83" spans="2:2">
      <c r="B83" s="10"/>
    </row>
    <row r="85" spans="2:2">
      <c r="B85" s="36"/>
    </row>
    <row r="86" spans="2:2">
      <c r="B86" s="36"/>
    </row>
    <row r="87" spans="2:2">
      <c r="B87" s="36"/>
    </row>
    <row r="88" spans="2:2">
      <c r="B88" s="36"/>
    </row>
    <row r="89" spans="2:2">
      <c r="B89" s="36"/>
    </row>
    <row r="90" spans="2:2">
      <c r="B90" s="36"/>
    </row>
    <row r="91" spans="2:2">
      <c r="B91" s="36"/>
    </row>
    <row r="92" spans="2:2">
      <c r="B92" s="36"/>
    </row>
    <row r="93" spans="2:2">
      <c r="B93" s="36"/>
    </row>
    <row r="94" spans="2:2">
      <c r="B94" s="36"/>
    </row>
    <row r="95" spans="2:2">
      <c r="B95" s="36"/>
    </row>
  </sheetData>
  <mergeCells count="180">
    <mergeCell ref="P2:R2"/>
    <mergeCell ref="A2:A3"/>
    <mergeCell ref="A4:A5"/>
    <mergeCell ref="A6:A7"/>
    <mergeCell ref="A8:A9"/>
    <mergeCell ref="A10:A11"/>
    <mergeCell ref="A12:A13"/>
    <mergeCell ref="A14:A15"/>
    <mergeCell ref="A17:A18"/>
    <mergeCell ref="A19:A20"/>
    <mergeCell ref="A21:A22"/>
    <mergeCell ref="A23:A24"/>
    <mergeCell ref="A26:A31"/>
    <mergeCell ref="A33:A34"/>
    <mergeCell ref="A35:A36"/>
    <mergeCell ref="A37:A38"/>
    <mergeCell ref="A39:A40"/>
    <mergeCell ref="A43:A44"/>
    <mergeCell ref="A46:A47"/>
    <mergeCell ref="A48:A49"/>
    <mergeCell ref="A50:A51"/>
    <mergeCell ref="A52:A53"/>
    <mergeCell ref="A54:A55"/>
    <mergeCell ref="A56:A57"/>
    <mergeCell ref="B2:B3"/>
    <mergeCell ref="B4:B15"/>
    <mergeCell ref="B17:B24"/>
    <mergeCell ref="B26:B31"/>
    <mergeCell ref="B33:B44"/>
    <mergeCell ref="B46:B57"/>
    <mergeCell ref="C2:C3"/>
    <mergeCell ref="C4:C5"/>
    <mergeCell ref="C6:C7"/>
    <mergeCell ref="C8:C9"/>
    <mergeCell ref="C10:C11"/>
    <mergeCell ref="C12:C13"/>
    <mergeCell ref="C14:C15"/>
    <mergeCell ref="C17:C18"/>
    <mergeCell ref="C19:C20"/>
    <mergeCell ref="C21:C22"/>
    <mergeCell ref="C23:C24"/>
    <mergeCell ref="C26:C31"/>
    <mergeCell ref="C33:C34"/>
    <mergeCell ref="C35:C36"/>
    <mergeCell ref="C37:C38"/>
    <mergeCell ref="C39:C40"/>
    <mergeCell ref="C41:C42"/>
    <mergeCell ref="C43:C44"/>
    <mergeCell ref="C46:C47"/>
    <mergeCell ref="C48:C49"/>
    <mergeCell ref="C50:C51"/>
    <mergeCell ref="C52:C53"/>
    <mergeCell ref="C54:C55"/>
    <mergeCell ref="C56:C57"/>
    <mergeCell ref="D2:D3"/>
    <mergeCell ref="D4:D15"/>
    <mergeCell ref="D17:D24"/>
    <mergeCell ref="D26:D31"/>
    <mergeCell ref="D33:D44"/>
    <mergeCell ref="D46:D57"/>
    <mergeCell ref="E2:E3"/>
    <mergeCell ref="E4:E5"/>
    <mergeCell ref="E6:E7"/>
    <mergeCell ref="E8:E9"/>
    <mergeCell ref="E10:E11"/>
    <mergeCell ref="E12:E13"/>
    <mergeCell ref="E14:E15"/>
    <mergeCell ref="E17:E18"/>
    <mergeCell ref="E19:E20"/>
    <mergeCell ref="E21:E22"/>
    <mergeCell ref="E23:E24"/>
    <mergeCell ref="E26:E27"/>
    <mergeCell ref="E28:E29"/>
    <mergeCell ref="E30:E31"/>
    <mergeCell ref="E33:E34"/>
    <mergeCell ref="E35:E36"/>
    <mergeCell ref="E37:E38"/>
    <mergeCell ref="E39:E40"/>
    <mergeCell ref="E41:E42"/>
    <mergeCell ref="E43:E44"/>
    <mergeCell ref="E46:E47"/>
    <mergeCell ref="E48:E49"/>
    <mergeCell ref="E50:E51"/>
    <mergeCell ref="E52:E53"/>
    <mergeCell ref="E54:E55"/>
    <mergeCell ref="E56:E57"/>
    <mergeCell ref="F2:F3"/>
    <mergeCell ref="F4:F5"/>
    <mergeCell ref="F6:F7"/>
    <mergeCell ref="F8:F9"/>
    <mergeCell ref="F10:F11"/>
    <mergeCell ref="F12:F13"/>
    <mergeCell ref="F14:F15"/>
    <mergeCell ref="F17:F18"/>
    <mergeCell ref="F19:F20"/>
    <mergeCell ref="F21:F22"/>
    <mergeCell ref="F23:F24"/>
    <mergeCell ref="F26:F27"/>
    <mergeCell ref="F28:F29"/>
    <mergeCell ref="F30:F31"/>
    <mergeCell ref="F33:F34"/>
    <mergeCell ref="F35:F36"/>
    <mergeCell ref="F37:F38"/>
    <mergeCell ref="F39:F40"/>
    <mergeCell ref="F41:F42"/>
    <mergeCell ref="F43:F44"/>
    <mergeCell ref="F46:F47"/>
    <mergeCell ref="F48:F49"/>
    <mergeCell ref="F50:F51"/>
    <mergeCell ref="F52:F53"/>
    <mergeCell ref="F54:F55"/>
    <mergeCell ref="F56:F57"/>
    <mergeCell ref="G2:G3"/>
    <mergeCell ref="G4:G15"/>
    <mergeCell ref="G17:G24"/>
    <mergeCell ref="G26:G31"/>
    <mergeCell ref="G33:G44"/>
    <mergeCell ref="G46:G47"/>
    <mergeCell ref="G48:G49"/>
    <mergeCell ref="G50:G51"/>
    <mergeCell ref="G52:G53"/>
    <mergeCell ref="G54:G55"/>
    <mergeCell ref="G56:G57"/>
    <mergeCell ref="H2:H3"/>
    <mergeCell ref="H4:H5"/>
    <mergeCell ref="H6:H7"/>
    <mergeCell ref="H8:H9"/>
    <mergeCell ref="H10:H11"/>
    <mergeCell ref="H12:H13"/>
    <mergeCell ref="H14:H15"/>
    <mergeCell ref="H17:H18"/>
    <mergeCell ref="H19:H20"/>
    <mergeCell ref="H21:H22"/>
    <mergeCell ref="H23:H24"/>
    <mergeCell ref="H26:H27"/>
    <mergeCell ref="H28:H29"/>
    <mergeCell ref="H30:H31"/>
    <mergeCell ref="H33:H34"/>
    <mergeCell ref="H35:H36"/>
    <mergeCell ref="H37:H38"/>
    <mergeCell ref="H39:H40"/>
    <mergeCell ref="H41:H42"/>
    <mergeCell ref="H43:H44"/>
    <mergeCell ref="H46:H47"/>
    <mergeCell ref="H48:H49"/>
    <mergeCell ref="H50:H51"/>
    <mergeCell ref="H52:H53"/>
    <mergeCell ref="H54:H55"/>
    <mergeCell ref="H56:H57"/>
    <mergeCell ref="I2:I3"/>
    <mergeCell ref="J2:J3"/>
    <mergeCell ref="J26:J27"/>
    <mergeCell ref="J28:J29"/>
    <mergeCell ref="J30:J31"/>
    <mergeCell ref="J35:J36"/>
    <mergeCell ref="J37:J38"/>
    <mergeCell ref="J43:J44"/>
    <mergeCell ref="K2:K3"/>
    <mergeCell ref="L2:L3"/>
    <mergeCell ref="L26:L27"/>
    <mergeCell ref="L28:L29"/>
    <mergeCell ref="L30:L31"/>
    <mergeCell ref="L33:L34"/>
    <mergeCell ref="L35:L36"/>
    <mergeCell ref="L37:L38"/>
    <mergeCell ref="L39:L40"/>
    <mergeCell ref="L41:L42"/>
    <mergeCell ref="L43:L44"/>
    <mergeCell ref="M2:M3"/>
    <mergeCell ref="M33:M34"/>
    <mergeCell ref="M35:M36"/>
    <mergeCell ref="M37:M38"/>
    <mergeCell ref="M39:M40"/>
    <mergeCell ref="M41:M42"/>
    <mergeCell ref="M43:M44"/>
    <mergeCell ref="N2:N3"/>
    <mergeCell ref="O2:O3"/>
    <mergeCell ref="S2:S3"/>
    <mergeCell ref="T2:T3"/>
    <mergeCell ref="U2:U3"/>
  </mergeCells>
  <pageMargins left="0.7" right="0.7" top="0.75" bottom="0.75" header="0.3" footer="0.3"/>
  <pageSetup paperSize="8" scale="68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28E6CEA6-2E58-471D-9171-362A98C617C1}">
  <ds:schemaRefs/>
</ds:datastoreItem>
</file>

<file path=customXml/itemProps2.xml><?xml version="1.0" encoding="utf-8"?>
<ds:datastoreItem xmlns:ds="http://schemas.openxmlformats.org/officeDocument/2006/customXml" ds:itemID="{033D113C-499B-4A3A-B521-B77912ACE7EA}">
  <ds:schemaRefs/>
</ds:datastoreItem>
</file>

<file path=customXml/itemProps3.xml><?xml version="1.0" encoding="utf-8"?>
<ds:datastoreItem xmlns:ds="http://schemas.openxmlformats.org/officeDocument/2006/customXml" ds:itemID="{7852594C-93D7-4359-9514-5E69B331FC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Final</vt:lpstr>
      <vt:lpstr>Statistics</vt:lpstr>
      <vt:lpstr>Ind VS Activities</vt:lpstr>
      <vt:lpstr>NRW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Morsi</dc:creator>
  <cp:lastModifiedBy>Khaled</cp:lastModifiedBy>
  <dcterms:created xsi:type="dcterms:W3CDTF">2015-06-05T18:17:00Z</dcterms:created>
  <cp:lastPrinted>2024-01-29T09:21:00Z</cp:lastPrinted>
  <dcterms:modified xsi:type="dcterms:W3CDTF">2026-01-11T01:40:02Z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0x01010083FC2A886F6FE144A0D83744568D8B49</vt:lpwstr>
  </property>
  <property fmtid="{D5CDD505-2E9C-101B-9397-08002B2CF9AE}" pid="3" name="MediaServiceImageTags">
    <vt:lpwstr/>
  </property>
  <property fmtid="{D5CDD505-2E9C-101B-9397-08002B2CF9AE}" pid="4" name="ICV">
    <vt:lpwstr>FACC7AFB56DE46308790DE925DDBA380_13</vt:lpwstr>
  </property>
  <property fmtid="{D5CDD505-2E9C-101B-9397-08002B2CF9AE}" pid="5" name="KSOProductBuildVer">
    <vt:lpwstr>1033-12.2.0.23196</vt:lpwstr>
  </property>
</Properties>
</file>